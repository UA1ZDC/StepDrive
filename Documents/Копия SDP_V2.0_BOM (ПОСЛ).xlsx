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AS01\ConstrServer\PERSONAL_DATA\Шилохвостов Дмитрий\"/>
    </mc:Choice>
  </mc:AlternateContent>
  <bookViews>
    <workbookView xWindow="0" yWindow="0" windowWidth="28800" windowHeight="12435"/>
  </bookViews>
  <sheets>
    <sheet name="BOM Report" sheetId="1" r:id="rId1"/>
    <sheet name="Project Information" sheetId="2" r:id="rId2"/>
  </sheets>
  <calcPr calcId="152511" refMode="R1C1"/>
</workbook>
</file>

<file path=xl/calcChain.xml><?xml version="1.0" encoding="utf-8"?>
<calcChain xmlns="http://schemas.openxmlformats.org/spreadsheetml/2006/main">
  <c r="J58" i="1" l="1"/>
  <c r="E8" i="1"/>
  <c r="B8" i="1"/>
</calcChain>
</file>

<file path=xl/sharedStrings.xml><?xml version="1.0" encoding="utf-8"?>
<sst xmlns="http://schemas.openxmlformats.org/spreadsheetml/2006/main" count="403" uniqueCount="264">
  <si>
    <t>Creation Date:</t>
  </si>
  <si>
    <t>Print Date:</t>
  </si>
  <si>
    <t>Quantity</t>
  </si>
  <si>
    <t xml:space="preserve"> 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</si>
  <si>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</si>
  <si>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</si>
  <si>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</si>
  <si>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</si>
  <si>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</si>
  <si>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</si>
  <si>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</si>
  <si>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</si>
  <si>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</si>
  <si>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</si>
  <si>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</si>
  <si>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</si>
  <si>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</si>
  <si>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</si>
  <si>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Bill of Materials</t>
  </si>
  <si>
    <t>Номинал</t>
  </si>
  <si>
    <t>Напряжение</t>
  </si>
  <si>
    <t>Точность</t>
  </si>
  <si>
    <t>Температурный диапазон</t>
  </si>
  <si>
    <t>Описание</t>
  </si>
  <si>
    <t>Корпус</t>
  </si>
  <si>
    <t>Артикул</t>
  </si>
  <si>
    <t>Производитель</t>
  </si>
  <si>
    <t>Bill of Materials for Project [SDP_V2.0.PrjPcb] (No PCB Document Selected)</t>
  </si>
  <si>
    <t>02.02.2024</t>
  </si>
  <si>
    <t>1:52</t>
  </si>
  <si>
    <t>Designator</t>
  </si>
  <si>
    <t>C1, C4, C11, C17, C18, C21, C22, C24, C41, C48, C51, C52</t>
  </si>
  <si>
    <t>C2, C3</t>
  </si>
  <si>
    <t>C5, C6</t>
  </si>
  <si>
    <t>C7</t>
  </si>
  <si>
    <t>C8</t>
  </si>
  <si>
    <t>C9</t>
  </si>
  <si>
    <t>C10, C13, C14</t>
  </si>
  <si>
    <t>C12, C25, C42, C49</t>
  </si>
  <si>
    <t>C15, C16, C19, C20, C23</t>
  </si>
  <si>
    <t>C26, C40</t>
  </si>
  <si>
    <t>C27, C28, C29, C30, C31, C32, C33, C34, C35, C36, C37, C38, C44, C45, C46, C47</t>
  </si>
  <si>
    <t>C39, C43, C50</t>
  </si>
  <si>
    <t>DA1</t>
  </si>
  <si>
    <t>DA2</t>
  </si>
  <si>
    <t>DA3, DA4, DA5, DA6</t>
  </si>
  <si>
    <t>DA7</t>
  </si>
  <si>
    <t>DA8, DA9, DA10</t>
  </si>
  <si>
    <t>DD1</t>
  </si>
  <si>
    <t>FU1</t>
  </si>
  <si>
    <t>HL1, HL2, HL3</t>
  </si>
  <si>
    <t>L1</t>
  </si>
  <si>
    <t>L2, L3, L4, L5</t>
  </si>
  <si>
    <t>R1</t>
  </si>
  <si>
    <t>R2</t>
  </si>
  <si>
    <t>R3</t>
  </si>
  <si>
    <t>R4</t>
  </si>
  <si>
    <t>R5</t>
  </si>
  <si>
    <t>R6, R9, R38, R40, R41</t>
  </si>
  <si>
    <t>R7, R10</t>
  </si>
  <si>
    <t>R8, R17, R18, R19, R20, R27, R28, R29, R30, R32, R49, R50</t>
  </si>
  <si>
    <t>R11, R12, R13, R14, R15, R16, R21, R22, R23, R24, R25, R26, R31</t>
  </si>
  <si>
    <t>R37, R39</t>
  </si>
  <si>
    <t>R42, R43, R44, R45, R46, R47</t>
  </si>
  <si>
    <t>R48</t>
  </si>
  <si>
    <t>VD1</t>
  </si>
  <si>
    <t>VD2</t>
  </si>
  <si>
    <t>VD3, VD4, VD5, VD6</t>
  </si>
  <si>
    <t>VD7</t>
  </si>
  <si>
    <t>VD8, VD9, VD10, VD11</t>
  </si>
  <si>
    <t>VD12</t>
  </si>
  <si>
    <t>VT1, VT2, VT3, VT4, VT5, VT6, VT7, VT8, VT9</t>
  </si>
  <si>
    <t>X1</t>
  </si>
  <si>
    <t>X2</t>
  </si>
  <si>
    <t>X3</t>
  </si>
  <si>
    <t>X4</t>
  </si>
  <si>
    <t>X5</t>
  </si>
  <si>
    <t>0.1uF</t>
  </si>
  <si>
    <t>10uF</t>
  </si>
  <si>
    <t>1.5nF</t>
  </si>
  <si>
    <t>10pF</t>
  </si>
  <si>
    <t>8.2nF</t>
  </si>
  <si>
    <t>2.2uF</t>
  </si>
  <si>
    <t>10nF</t>
  </si>
  <si>
    <t>1uF</t>
  </si>
  <si>
    <t>100pF</t>
  </si>
  <si>
    <t>4.7uF</t>
  </si>
  <si>
    <t>2.2nF</t>
  </si>
  <si>
    <t>15uH</t>
  </si>
  <si>
    <t>600 @ 100MHz</t>
  </si>
  <si>
    <t>332k</t>
  </si>
  <si>
    <t>10.2k</t>
  </si>
  <si>
    <t>9.31k</t>
  </si>
  <si>
    <t>31.6k</t>
  </si>
  <si>
    <t>732</t>
  </si>
  <si>
    <t>1k</t>
  </si>
  <si>
    <t>22k</t>
  </si>
  <si>
    <t>10k</t>
  </si>
  <si>
    <t>2.2</t>
  </si>
  <si>
    <t>100</t>
  </si>
  <si>
    <t>15m</t>
  </si>
  <si>
    <t>50V</t>
  </si>
  <si>
    <t>25V</t>
  </si>
  <si>
    <t>16V</t>
  </si>
  <si>
    <t>100V</t>
  </si>
  <si>
    <t>2V</t>
  </si>
  <si>
    <t>75V</t>
  </si>
  <si>
    <t>40V</t>
  </si>
  <si>
    <t>4.7V</t>
  </si>
  <si>
    <t>58.1V</t>
  </si>
  <si>
    <t>13V</t>
  </si>
  <si>
    <t>80V</t>
  </si>
  <si>
    <t>250V</t>
  </si>
  <si>
    <t>320V</t>
  </si>
  <si>
    <t>10%</t>
  </si>
  <si>
    <t>±0.25pF</t>
  </si>
  <si>
    <t>5%</t>
  </si>
  <si>
    <t>20%</t>
  </si>
  <si>
    <t>1%</t>
  </si>
  <si>
    <t>-55°C ~ 125°C</t>
  </si>
  <si>
    <t>-55°C ~ 85°C</t>
  </si>
  <si>
    <t>-40°C ~ 150°C (TJ)</t>
  </si>
  <si>
    <t>-40°C ~ 125°C</t>
  </si>
  <si>
    <t>-40°C ~ 125°C (TJ)</t>
  </si>
  <si>
    <t>-40°C ~ 140°C (TJ)</t>
  </si>
  <si>
    <t>-40°C ~ 85°C (TA)</t>
  </si>
  <si>
    <t>-40°C ~ 80°C</t>
  </si>
  <si>
    <t>-55°C ~ 155°C</t>
  </si>
  <si>
    <t>-55°C ~ 170°C</t>
  </si>
  <si>
    <t>-55°C ~ 150°C</t>
  </si>
  <si>
    <t>-65°C ~ 150°C</t>
  </si>
  <si>
    <t>-40°C ~ 175°C</t>
  </si>
  <si>
    <t>-55°C ~ 150°C (TJ)</t>
  </si>
  <si>
    <t>-40°C ~ 105°C</t>
  </si>
  <si>
    <t>-25°C ~ 85°C</t>
  </si>
  <si>
    <t>0.1 µF ±10% 50V Ceramic Capacitor X7R 0603 (1608 Metric)</t>
  </si>
  <si>
    <t>10 µF ±10% 25V Ceramic Capacitor X5R 0805 (2012 Metric)</t>
  </si>
  <si>
    <t>10 µF ±10% 50V Ceramic Capacitor X7R 1206 (3216 Metric)</t>
  </si>
  <si>
    <t>1500 pF ±10% 50V Ceramic Capacitor X7R 0603 (1608 Metric)</t>
  </si>
  <si>
    <t>10 pF ±0.25pF 50V Ceramic Capacitor C0G, NP0 0603 (1608 Metric)</t>
  </si>
  <si>
    <t>8200 pF ±10% 50V Ceramic Capacitor X7R 0603 (1608 Metric)</t>
  </si>
  <si>
    <t>2.2 µF ±10% 16V Ceramic Capacitor X5R 0603 (1608 Metric)</t>
  </si>
  <si>
    <t>10000 pF ±10% 50V Ceramic Capacitor X7R 0603 (1608 Metric)</t>
  </si>
  <si>
    <t>1 µF ±10% 25V Ceramic Capacitor X7R 0805 (2012 Metric)</t>
  </si>
  <si>
    <t>100 pF ±5% 50V Ceramic Capacitor C0G, NP0 0603 (1608 Metric)</t>
  </si>
  <si>
    <t>4.7 µF ±10% 100V Ceramic Capacitor X7R 1210 (3225 Metric)</t>
  </si>
  <si>
    <t>2200 pF ±10% 50V Ceramic Capacitor X7R 0603 (1608 Metric)</t>
  </si>
  <si>
    <t>Buck Switching Regulator IC Positive Adjustable 0.8V 1 Output 3.5A 8-PowerSOIC (0.154", 3.90mm Width)</t>
  </si>
  <si>
    <t>Linear Voltage Regulator IC Positive Fixed 1 Output 150mA SOT-23-5</t>
  </si>
  <si>
    <t>Half-Bridge Gate Driver IC Non-Inverting 8-SOIC</t>
  </si>
  <si>
    <t>Low-Side Gate Driver IC Inverting, Non-Inverting SOT-23-5</t>
  </si>
  <si>
    <t>Current Sense Amplifier 1 Circuit 8-SOIC</t>
  </si>
  <si>
    <t>EEPROM Memory IC 1Kbit I2C 400 kHz 900 ns 8-SOIC</t>
  </si>
  <si>
    <t>10 A 125 V AC 125 V DC Fuse Board Mount (Cartridge Style Excluded) Requires Holder, Surface Mount 2-SMD, Square End Block with Holder</t>
  </si>
  <si>
    <t>Green 567nm LED Indication - Discrete 2V 0603 (1608 Metric)</t>
  </si>
  <si>
    <t>15 µH Semi-Shielded Drum Core, Wirewound Inductor 2.4 A 70mOhm Max Nonstandard</t>
  </si>
  <si>
    <t>600 Ohms @ 100 MHz 1 Ferrite Bead 0603 (1608 Metric) 500mA 380mOhm</t>
  </si>
  <si>
    <t>332 kOhms ±1% 0.1W, 1/10W Chip Resistor 0603 (1608 Metric) Moisture Resistant Thick Film</t>
  </si>
  <si>
    <t>10.2 kOhms ±1% 0.1W, 1/10W Chip Resistor 0603 (1608 Metric) Moisture Resistant Thick Film</t>
  </si>
  <si>
    <t>9.31 kOhms ±1% 0.1W, 1/10W Chip Resistor 0603 (1608 Metric) Moisture Resistant Thick Film</t>
  </si>
  <si>
    <t>31.6 kOhms ±1% 0.1W, 1/10W Chip Resistor 0603 (1608 Metric) Moisture Resistant Thick Film</t>
  </si>
  <si>
    <t>732 kOhms ±1% 0.1W, 1/10W Chip Resistor 0603 (1608 Metric) Moisture Resistant Thick Film</t>
  </si>
  <si>
    <t>1 kOhms ±1% 0.1W, 1/10W Chip Resistor 0603 (1608 Metric) Moisture Resistant Thick Film</t>
  </si>
  <si>
    <t>22 kOhms ±1% 0.1W, 1/10W Chip Resistor 0603 (1608 Metric) Moisture Resistant Thick Film</t>
  </si>
  <si>
    <t>10 kOhms ±1% 0.1W, 1/10W Chip Resistor 0603 (1608 Metric) Moisture Resistant Thick Film</t>
  </si>
  <si>
    <t>2.2 Ohms ±1% 0.1W, 1/10W Chip Resistor 0603 (1608 Metric) Moisture Resistant Thick Film</t>
  </si>
  <si>
    <t>100 Ohms ±1% 0.1W, 1/10W Chip Resistor 0603 (1608 Metric) Moisture Resistant Thick Film</t>
  </si>
  <si>
    <t>15 mOhms ±1% 3W Chip Resistor 2512 (6432 Metric) Automotive AEC-Q200, Current Sense, Moisture Resistant Metal Element</t>
  </si>
  <si>
    <t>NTC Thermistor 10k 0603 (1608 Metric)</t>
  </si>
  <si>
    <t>Diode 40 V 3A Surface Mount SMA</t>
  </si>
  <si>
    <t>Zener Diode 4.7 V 500 mW ±5% Surface Mount SOD-123</t>
  </si>
  <si>
    <t>Diode 100 V 1A Surface Mount SOD-123W</t>
  </si>
  <si>
    <t>121V Clamp 83A (8/20µs) Ipp Tvs Diode Surface Mount SMC</t>
  </si>
  <si>
    <t>Zener Diode 13 V 300 mW ±2% Surface Mount SOD-323</t>
  </si>
  <si>
    <t>Diode 100 V 3A Surface Mount SMC</t>
  </si>
  <si>
    <t>N-Channel 80 V 100A (Tc) 2.5W (Ta), 139W (Tc) Surface Mount PG-TDSON-8-7</t>
  </si>
  <si>
    <t>Connector Header Through Hole 30 position 0.100" (2.54mm)</t>
  </si>
  <si>
    <t>Pluggable terminal block; 5.0mm; ways: 5; angled 90; socket; male</t>
  </si>
  <si>
    <t>Pluggable terminal block; 5.0mm; ways: 4; angled 90; socket; male</t>
  </si>
  <si>
    <t>Connector Header Through Hole 2 position 0.098" (2.50mm)</t>
  </si>
  <si>
    <t>0603 (1608 Metric)</t>
  </si>
  <si>
    <t>0805 (2012 Metric)</t>
  </si>
  <si>
    <t>1206 (3216 Metric)</t>
  </si>
  <si>
    <t>1210 (3225 Metric)</t>
  </si>
  <si>
    <t>8-PowerSOIC (0.154", 3.90mm Width)</t>
  </si>
  <si>
    <t>SOT-23-5</t>
  </si>
  <si>
    <t>8-SOIC (0.154", 3.90mm Width)</t>
  </si>
  <si>
    <t>9.73mm x 5.03mm x 3.81mm</t>
  </si>
  <si>
    <t>8.00mm x 8.00mm</t>
  </si>
  <si>
    <t>2512 (6432 Metric)</t>
  </si>
  <si>
    <t>DO-214AC, SMA</t>
  </si>
  <si>
    <t>SOD-123</t>
  </si>
  <si>
    <t>SOD-123W</t>
  </si>
  <si>
    <t>DO-214AB, SMC</t>
  </si>
  <si>
    <t>SOD-323</t>
  </si>
  <si>
    <t>PG-TDSON-8</t>
  </si>
  <si>
    <t>CL10B104KB8NNNC</t>
  </si>
  <si>
    <t>CL21A106KAYNNNE</t>
  </si>
  <si>
    <t>CL31B106KBHNNNE</t>
  </si>
  <si>
    <t>CL10B152KB8WPNC</t>
  </si>
  <si>
    <t>CL10C100CB8NNNC</t>
  </si>
  <si>
    <t>CC0603KRX7R9BB822</t>
  </si>
  <si>
    <t>CL10A225KO8NNNC</t>
  </si>
  <si>
    <t>CL10B103KB8NNNC</t>
  </si>
  <si>
    <t>CL21B105KAFNNNE</t>
  </si>
  <si>
    <t>CL10C101JB8NNNC</t>
  </si>
  <si>
    <t>CL32B475KCVZW6E</t>
  </si>
  <si>
    <t>CL10B222KB8NNNC</t>
  </si>
  <si>
    <t>TPS54332DDAR</t>
  </si>
  <si>
    <t>LP2985-33DBVR</t>
  </si>
  <si>
    <t>LM5109BMA/NOPB</t>
  </si>
  <si>
    <t>UCC27517DBVT</t>
  </si>
  <si>
    <t>INA240A1D</t>
  </si>
  <si>
    <t>M24C01-WMN6P</t>
  </si>
  <si>
    <t>0154010.DR</t>
  </si>
  <si>
    <t>GNL-0603GC</t>
  </si>
  <si>
    <t>SRN8040-150M</t>
  </si>
  <si>
    <t>BLM18AG601SN1D</t>
  </si>
  <si>
    <t>RC0603FR-07332KL</t>
  </si>
  <si>
    <t>RC0603FR-0710K2L</t>
  </si>
  <si>
    <t>RC0603FR-079K31L</t>
  </si>
  <si>
    <t>RC0603FR-0731K6L</t>
  </si>
  <si>
    <t>RC0603FR-07732RL</t>
  </si>
  <si>
    <t>RC0603FR-071KL</t>
  </si>
  <si>
    <t>RC0603FR-0722KL</t>
  </si>
  <si>
    <t>RC0603FR-0710KL</t>
  </si>
  <si>
    <t>RC0603FR-072R2L</t>
  </si>
  <si>
    <t>RC0603FR-07100RL</t>
  </si>
  <si>
    <t>CRA2512-FZ-R015ELF</t>
  </si>
  <si>
    <t>NCP18XH103F03RB</t>
  </si>
  <si>
    <t>B340A-13-F</t>
  </si>
  <si>
    <t>MMSZ5230B-7-F</t>
  </si>
  <si>
    <t>PMEG10010ELRX</t>
  </si>
  <si>
    <t>SM15T68A</t>
  </si>
  <si>
    <t>BZX384-B13,115</t>
  </si>
  <si>
    <t>B3100-13-F</t>
  </si>
  <si>
    <t>BSC030N08NS5ATMA1</t>
  </si>
  <si>
    <t>DS1013-30S</t>
  </si>
  <si>
    <t>2EDGR-5.0-05P-14-00A(H)</t>
  </si>
  <si>
    <t>2EDGR-5.0-04P-14-00A(H)</t>
  </si>
  <si>
    <t>B2B-XH-A(LF)(SN)</t>
  </si>
  <si>
    <t>DS1021-2X15SF11-B</t>
  </si>
  <si>
    <t>Samsung Electro-Mechanics</t>
  </si>
  <si>
    <t>YAGEO</t>
  </si>
  <si>
    <t>Texas Instruments</t>
  </si>
  <si>
    <t>STMicroelectronics</t>
  </si>
  <si>
    <t>Littelfuse Inc.</t>
  </si>
  <si>
    <t>G-nor Electronics</t>
  </si>
  <si>
    <t>Bourns Inc.</t>
  </si>
  <si>
    <t>Murata Electronics</t>
  </si>
  <si>
    <t>Diodes Incorporated</t>
  </si>
  <si>
    <t>Nexperia USA Inc.</t>
  </si>
  <si>
    <t>Infineon Technologies</t>
  </si>
  <si>
    <t>Connfly electronic (Zhenqin)</t>
  </si>
  <si>
    <t>Degson Electronics</t>
  </si>
  <si>
    <t>JST Sales America Inc.</t>
  </si>
  <si>
    <t>F:\Altium_backup\Projects\Saturn\SDP_V2.0\SDP_V2.0.PrjPcb</t>
  </si>
  <si>
    <t>SDP_V2.0.PrjPcb</t>
  </si>
  <si>
    <t>None</t>
  </si>
  <si>
    <t>144</t>
  </si>
  <si>
    <t>02.02.2024 1:52</t>
  </si>
  <si>
    <t>BomReport</t>
  </si>
  <si>
    <t>BOM</t>
  </si>
  <si>
    <t>На 1 плату не хватило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</si>
</sst>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C09]dd\-mmm\-yy;@"/>
    <numFmt numFmtId="165" formatCode="[$-409]h:mm:ss\ AM/PM;@"/>
  </numFmts>
  <fonts count="6" x14ac:knownFonts="1">
    <font>
      <sz val="10"/>
      <color theme="1"/>
      <name val="Arial"/>
    </font>
    <font>
      <b/>
      <sz val="10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b/>
      <sz val="24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0" fillId="0" borderId="2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top"/>
    </xf>
    <xf numFmtId="0" fontId="1" fillId="0" borderId="1" xfId="0" applyNumberFormat="1" applyFont="1" applyFill="1" applyBorder="1" applyAlignment="1" applyProtection="1"/>
    <xf numFmtId="0" fontId="0" fillId="0" borderId="3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64" fontId="0" fillId="0" borderId="4" xfId="0" applyNumberFormat="1" applyFont="1" applyFill="1" applyBorder="1" applyAlignment="1" applyProtection="1">
      <alignment horizontal="left"/>
    </xf>
    <xf numFmtId="165" fontId="0" fillId="0" borderId="4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left"/>
    </xf>
    <xf numFmtId="0" fontId="1" fillId="2" borderId="5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3" borderId="7" xfId="0" applyNumberFormat="1" applyFont="1" applyFill="1" applyBorder="1" applyAlignment="1" applyProtection="1">
      <alignment horizontal="left" vertical="center"/>
    </xf>
    <xf numFmtId="0" fontId="1" fillId="2" borderId="7" xfId="0" applyNumberFormat="1" applyFont="1" applyFill="1" applyBorder="1" applyAlignment="1" applyProtection="1">
      <alignment horizontal="left" vertical="center"/>
    </xf>
    <xf numFmtId="0" fontId="1" fillId="3" borderId="9" xfId="0" applyNumberFormat="1" applyFont="1" applyFill="1" applyBorder="1" applyAlignment="1" applyProtection="1">
      <alignment horizontal="left" vertical="center"/>
    </xf>
    <xf numFmtId="0" fontId="0" fillId="0" borderId="2" xfId="0" applyNumberFormat="1" applyFont="1" applyFill="1" applyBorder="1" applyAlignment="1" applyProtection="1">
      <alignment horizontal="left"/>
    </xf>
    <xf numFmtId="49" fontId="0" fillId="0" borderId="4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protection locked="0"/>
    </xf>
    <xf numFmtId="0" fontId="1" fillId="0" borderId="1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>
      <alignment horizontal="left"/>
    </xf>
    <xf numFmtId="0" fontId="1" fillId="0" borderId="2" xfId="0" applyNumberFormat="1" applyFont="1" applyFill="1" applyBorder="1" applyAlignment="1" applyProtection="1"/>
    <xf numFmtId="0" fontId="0" fillId="0" borderId="12" xfId="0" applyNumberFormat="1" applyFont="1" applyFill="1" applyBorder="1" applyAlignment="1" applyProtection="1"/>
    <xf numFmtId="14" fontId="0" fillId="0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2" fillId="4" borderId="13" xfId="0" applyNumberFormat="1" applyFont="1" applyFill="1" applyBorder="1" applyAlignment="1" applyProtection="1">
      <alignment horizontal="center" vertical="center"/>
    </xf>
    <xf numFmtId="0" fontId="2" fillId="4" borderId="14" xfId="0" applyNumberFormat="1" applyFont="1" applyFill="1" applyBorder="1" applyAlignment="1" applyProtection="1">
      <alignment horizontal="center" vertical="center"/>
    </xf>
    <xf numFmtId="0" fontId="2" fillId="4" borderId="15" xfId="0" applyNumberFormat="1" applyFont="1" applyFill="1" applyBorder="1" applyAlignment="1" applyProtection="1">
      <alignment horizontal="center" vertical="center"/>
    </xf>
    <xf numFmtId="0" fontId="1" fillId="4" borderId="15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/>
    </xf>
    <xf numFmtId="0" fontId="0" fillId="0" borderId="0" xfId="0" applyNumberFormat="1" applyFont="1" applyFill="1" applyBorder="1" applyAlignment="1" applyProtection="1">
      <alignment horizontal="left" vertical="center"/>
    </xf>
    <xf numFmtId="1" fontId="0" fillId="0" borderId="16" xfId="0" applyNumberFormat="1" applyFont="1" applyFill="1" applyBorder="1" applyAlignment="1" applyProtection="1">
      <alignment horizontal="center" vertical="center"/>
    </xf>
    <xf numFmtId="0" fontId="0" fillId="0" borderId="0" xfId="0" quotePrefix="1"/>
    <xf numFmtId="0" fontId="0" fillId="0" borderId="2" xfId="0" quotePrefix="1" applyNumberFormat="1" applyFont="1" applyFill="1" applyBorder="1" applyAlignment="1" applyProtection="1">
      <alignment horizontal="left"/>
    </xf>
    <xf numFmtId="0" fontId="0" fillId="2" borderId="6" xfId="0" quotePrefix="1" applyNumberFormat="1" applyFont="1" applyFill="1" applyBorder="1" applyAlignment="1" applyProtection="1">
      <alignment horizontal="left" vertical="center"/>
    </xf>
    <xf numFmtId="0" fontId="0" fillId="3" borderId="8" xfId="0" quotePrefix="1" applyNumberFormat="1" applyFont="1" applyFill="1" applyBorder="1" applyAlignment="1" applyProtection="1">
      <alignment horizontal="left" vertical="center"/>
    </xf>
    <xf numFmtId="0" fontId="0" fillId="2" borderId="8" xfId="0" quotePrefix="1" applyNumberFormat="1" applyFont="1" applyFill="1" applyBorder="1" applyAlignment="1" applyProtection="1">
      <alignment horizontal="left" vertical="center"/>
    </xf>
    <xf numFmtId="0" fontId="0" fillId="3" borderId="10" xfId="0" quotePrefix="1" applyNumberFormat="1" applyFont="1" applyFill="1" applyBorder="1" applyAlignment="1" applyProtection="1">
      <alignment horizontal="left" vertical="center"/>
    </xf>
    <xf numFmtId="0" fontId="4" fillId="5" borderId="15" xfId="0" applyNumberFormat="1" applyFont="1" applyFill="1" applyBorder="1" applyAlignment="1" applyProtection="1">
      <alignment horizontal="left" vertical="center"/>
    </xf>
    <xf numFmtId="0" fontId="0" fillId="5" borderId="15" xfId="0" applyNumberFormat="1" applyFont="1" applyFill="1" applyBorder="1" applyAlignment="1" applyProtection="1">
      <alignment horizontal="left" vertical="center"/>
    </xf>
    <xf numFmtId="0" fontId="4" fillId="5" borderId="15" xfId="0" applyNumberFormat="1" applyFont="1" applyFill="1" applyBorder="1" applyAlignment="1" applyProtection="1">
      <alignment horizontal="center" vertical="center"/>
    </xf>
    <xf numFmtId="0" fontId="0" fillId="5" borderId="0" xfId="0" applyNumberFormat="1" applyFont="1" applyFill="1" applyBorder="1" applyAlignment="1" applyProtection="1">
      <alignment vertical="center"/>
    </xf>
    <xf numFmtId="0" fontId="4" fillId="5" borderId="0" xfId="0" applyNumberFormat="1" applyFont="1" applyFill="1" applyBorder="1" applyAlignment="1" applyProtection="1">
      <alignment vertical="top"/>
    </xf>
    <xf numFmtId="0" fontId="0" fillId="5" borderId="15" xfId="0" applyNumberFormat="1" applyFont="1" applyFill="1" applyBorder="1" applyAlignment="1" applyProtection="1">
      <alignment horizontal="center" vertical="center"/>
    </xf>
    <xf numFmtId="0" fontId="0" fillId="6" borderId="15" xfId="0" applyNumberFormat="1" applyFont="1" applyFill="1" applyBorder="1" applyAlignment="1" applyProtection="1">
      <alignment horizontal="left" vertical="center"/>
    </xf>
    <xf numFmtId="0" fontId="0" fillId="6" borderId="15" xfId="0" applyNumberFormat="1" applyFont="1" applyFill="1" applyBorder="1" applyAlignment="1" applyProtection="1">
      <alignment horizontal="center" vertical="center"/>
    </xf>
    <xf numFmtId="0" fontId="0" fillId="6" borderId="0" xfId="0" applyNumberFormat="1" applyFont="1" applyFill="1" applyBorder="1" applyAlignment="1" applyProtection="1">
      <alignment vertical="center"/>
    </xf>
    <xf numFmtId="0" fontId="4" fillId="6" borderId="0" xfId="0" applyNumberFormat="1" applyFont="1" applyFill="1" applyBorder="1" applyAlignment="1" applyProtection="1">
      <alignment vertical="top"/>
    </xf>
    <xf numFmtId="0" fontId="4" fillId="7" borderId="15" xfId="0" applyNumberFormat="1" applyFont="1" applyFill="1" applyBorder="1" applyAlignment="1" applyProtection="1">
      <alignment horizontal="left" vertical="center"/>
    </xf>
    <xf numFmtId="0" fontId="0" fillId="7" borderId="15" xfId="0" applyNumberFormat="1" applyFont="1" applyFill="1" applyBorder="1" applyAlignment="1" applyProtection="1">
      <alignment horizontal="left" vertical="center"/>
    </xf>
    <xf numFmtId="0" fontId="4" fillId="7" borderId="15" xfId="0" applyNumberFormat="1" applyFont="1" applyFill="1" applyBorder="1" applyAlignment="1" applyProtection="1">
      <alignment horizontal="center" vertical="center"/>
    </xf>
    <xf numFmtId="0" fontId="4" fillId="7" borderId="0" xfId="0" applyNumberFormat="1" applyFont="1" applyFill="1" applyBorder="1" applyAlignment="1" applyProtection="1">
      <alignment vertical="center"/>
    </xf>
    <xf numFmtId="0" fontId="4" fillId="7" borderId="0" xfId="0" applyNumberFormat="1" applyFont="1" applyFill="1" applyBorder="1" applyAlignment="1" applyProtection="1">
      <alignment vertical="top"/>
    </xf>
    <xf numFmtId="0" fontId="4" fillId="6" borderId="15" xfId="0" applyNumberFormat="1" applyFont="1" applyFill="1" applyBorder="1" applyAlignment="1" applyProtection="1">
      <alignment horizontal="left" vertical="center"/>
    </xf>
    <xf numFmtId="0" fontId="4" fillId="6" borderId="15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7"/>
  <sheetViews>
    <sheetView showGridLines="0" tabSelected="1" zoomScale="95" zoomScaleNormal="95" workbookViewId="0">
      <selection activeCell="D40" sqref="D40"/>
    </sheetView>
  </sheetViews>
  <sheetFormatPr defaultColWidth="9.140625" defaultRowHeight="12.75" x14ac:dyDescent="0.2"/>
  <cols>
    <col min="1" max="1" width="13.5703125" style="3" customWidth="1"/>
    <col min="2" max="2" width="18.5703125" style="10" customWidth="1"/>
    <col min="3" max="4" width="10.140625" style="10" customWidth="1"/>
    <col min="5" max="5" width="10.5703125" style="10" customWidth="1"/>
    <col min="6" max="6" width="35.85546875" style="3" customWidth="1"/>
    <col min="7" max="7" width="18.140625" style="3" customWidth="1"/>
    <col min="8" max="9" width="27.7109375" style="3" customWidth="1"/>
    <col min="10" max="10" width="9.140625" style="3" customWidth="1"/>
    <col min="11" max="16384" width="9.140625" style="3"/>
  </cols>
  <sheetData>
    <row r="1" spans="1:11" x14ac:dyDescent="0.2">
      <c r="A1"/>
      <c r="B1"/>
      <c r="C1"/>
      <c r="D1"/>
      <c r="E1"/>
      <c r="F1"/>
      <c r="G1"/>
      <c r="H1"/>
      <c r="I1"/>
      <c r="J1" s="5"/>
      <c r="K1"/>
    </row>
    <row r="2" spans="1:11" ht="37.5" customHeight="1" x14ac:dyDescent="0.2">
      <c r="A2" s="20" t="s">
        <v>18</v>
      </c>
      <c r="B2" s="11"/>
      <c r="C2" s="11"/>
      <c r="D2" s="11"/>
      <c r="E2"/>
      <c r="F2"/>
      <c r="G2"/>
      <c r="H2"/>
      <c r="I2"/>
      <c r="J2" s="5"/>
      <c r="K2"/>
    </row>
    <row r="3" spans="1:11" ht="23.25" customHeight="1" x14ac:dyDescent="0.2">
      <c r="A3" s="35" t="s">
        <v>27</v>
      </c>
      <c r="B3" s="11"/>
      <c r="C3" s="11"/>
      <c r="D3" s="11"/>
      <c r="E3"/>
      <c r="F3"/>
      <c r="G3"/>
      <c r="H3"/>
      <c r="I3"/>
      <c r="J3" s="5"/>
      <c r="K3"/>
    </row>
    <row r="4" spans="1:11" ht="17.25" customHeight="1" x14ac:dyDescent="0.2">
      <c r="A4" s="4"/>
      <c r="B4" s="11"/>
      <c r="C4" s="11"/>
      <c r="D4" s="11"/>
      <c r="E4"/>
      <c r="F4"/>
      <c r="G4"/>
      <c r="H4"/>
      <c r="I4"/>
      <c r="J4" s="5"/>
      <c r="K4"/>
    </row>
    <row r="5" spans="1:11" ht="17.25" customHeight="1" x14ac:dyDescent="0.2">
      <c r="A5" s="4"/>
      <c r="B5" s="11"/>
      <c r="C5" s="11"/>
      <c r="D5" s="11"/>
      <c r="E5"/>
      <c r="F5"/>
      <c r="G5"/>
      <c r="H5"/>
      <c r="I5"/>
      <c r="J5" s="5"/>
      <c r="K5"/>
    </row>
    <row r="6" spans="1:11" x14ac:dyDescent="0.2">
      <c r="A6" s="22"/>
      <c r="B6" s="23"/>
      <c r="C6" s="23"/>
      <c r="D6" s="23"/>
      <c r="E6" s="17"/>
      <c r="F6" s="2"/>
      <c r="G6" s="24"/>
      <c r="H6" s="2"/>
      <c r="I6"/>
      <c r="J6" s="5"/>
      <c r="K6"/>
    </row>
    <row r="7" spans="1:11" ht="15.75" customHeight="1" x14ac:dyDescent="0.2">
      <c r="A7" s="6" t="s">
        <v>0</v>
      </c>
      <c r="B7" s="36" t="s">
        <v>28</v>
      </c>
      <c r="C7" s="17"/>
      <c r="D7" s="17"/>
      <c r="E7" s="36" t="s">
        <v>29</v>
      </c>
      <c r="F7" s="7"/>
      <c r="G7"/>
      <c r="H7"/>
      <c r="I7"/>
      <c r="J7" s="25"/>
      <c r="K7"/>
    </row>
    <row r="8" spans="1:11" ht="15.75" customHeight="1" x14ac:dyDescent="0.2">
      <c r="A8" s="1" t="s">
        <v>1</v>
      </c>
      <c r="B8" s="8">
        <f ca="1">TODAY()</f>
        <v>45462</v>
      </c>
      <c r="C8" s="8"/>
      <c r="D8" s="8"/>
      <c r="E8" s="9">
        <f ca="1">NOW()</f>
        <v>45462.829325925923</v>
      </c>
      <c r="F8" s="7"/>
      <c r="G8"/>
      <c r="H8"/>
      <c r="I8"/>
      <c r="J8" s="5"/>
      <c r="K8"/>
    </row>
    <row r="9" spans="1:11" ht="15.75" customHeight="1" x14ac:dyDescent="0.2">
      <c r="A9" s="6"/>
      <c r="B9" s="18"/>
      <c r="C9" s="18"/>
      <c r="D9" s="18"/>
      <c r="E9" s="18"/>
      <c r="F9" s="7"/>
      <c r="G9"/>
      <c r="H9"/>
      <c r="I9"/>
      <c r="J9" s="5"/>
      <c r="K9"/>
    </row>
    <row r="10" spans="1:11" ht="15.75" customHeight="1" x14ac:dyDescent="0.2">
      <c r="A10" s="1"/>
      <c r="B10" s="11"/>
      <c r="C10" s="11"/>
      <c r="D10" s="11"/>
      <c r="E10" s="11"/>
      <c r="F10"/>
      <c r="G10"/>
      <c r="H10"/>
      <c r="I10"/>
      <c r="J10" s="5"/>
      <c r="K10"/>
    </row>
    <row r="11" spans="1:11" s="19" customFormat="1" ht="19.5" customHeight="1" x14ac:dyDescent="0.2">
      <c r="A11" s="28" t="s">
        <v>30</v>
      </c>
      <c r="B11" s="29" t="s">
        <v>19</v>
      </c>
      <c r="C11" s="30" t="s">
        <v>20</v>
      </c>
      <c r="D11" s="29" t="s">
        <v>21</v>
      </c>
      <c r="E11" s="29" t="s">
        <v>22</v>
      </c>
      <c r="F11" s="29" t="s">
        <v>23</v>
      </c>
      <c r="G11" s="29" t="s">
        <v>24</v>
      </c>
      <c r="H11" s="30" t="s">
        <v>25</v>
      </c>
      <c r="I11" s="30" t="s">
        <v>26</v>
      </c>
      <c r="J11" s="31" t="s">
        <v>2</v>
      </c>
      <c r="K11" s="32"/>
    </row>
    <row r="12" spans="1:11" s="45" customFormat="1" ht="16.5" customHeight="1" x14ac:dyDescent="0.2">
      <c r="A12" s="41" t="s">
        <v>31</v>
      </c>
      <c r="B12" s="41" t="s">
        <v>77</v>
      </c>
      <c r="C12" s="41" t="s">
        <v>101</v>
      </c>
      <c r="D12" s="41" t="s">
        <v>114</v>
      </c>
      <c r="E12" s="41" t="s">
        <v>119</v>
      </c>
      <c r="F12" s="41" t="s">
        <v>135</v>
      </c>
      <c r="G12" s="41" t="s">
        <v>180</v>
      </c>
      <c r="H12" s="42" t="s">
        <v>196</v>
      </c>
      <c r="I12" s="42" t="s">
        <v>242</v>
      </c>
      <c r="J12" s="43">
        <v>12</v>
      </c>
      <c r="K12" s="44"/>
    </row>
    <row r="13" spans="1:11" s="45" customFormat="1" ht="16.5" customHeight="1" x14ac:dyDescent="0.2">
      <c r="A13" s="42" t="s">
        <v>32</v>
      </c>
      <c r="B13" s="42" t="s">
        <v>78</v>
      </c>
      <c r="C13" s="42" t="s">
        <v>102</v>
      </c>
      <c r="D13" s="42" t="s">
        <v>114</v>
      </c>
      <c r="E13" s="42" t="s">
        <v>120</v>
      </c>
      <c r="F13" s="42" t="s">
        <v>136</v>
      </c>
      <c r="G13" s="42" t="s">
        <v>181</v>
      </c>
      <c r="H13" s="42" t="s">
        <v>197</v>
      </c>
      <c r="I13" s="42" t="s">
        <v>242</v>
      </c>
      <c r="J13" s="46">
        <v>2</v>
      </c>
      <c r="K13" s="44"/>
    </row>
    <row r="14" spans="1:11" s="45" customFormat="1" ht="16.5" customHeight="1" x14ac:dyDescent="0.2">
      <c r="A14" s="41" t="s">
        <v>33</v>
      </c>
      <c r="B14" s="41" t="s">
        <v>78</v>
      </c>
      <c r="C14" s="41" t="s">
        <v>101</v>
      </c>
      <c r="D14" s="41" t="s">
        <v>114</v>
      </c>
      <c r="E14" s="41" t="s">
        <v>119</v>
      </c>
      <c r="F14" s="41" t="s">
        <v>137</v>
      </c>
      <c r="G14" s="41" t="s">
        <v>182</v>
      </c>
      <c r="H14" s="42" t="s">
        <v>198</v>
      </c>
      <c r="I14" s="42" t="s">
        <v>242</v>
      </c>
      <c r="J14" s="43">
        <v>2</v>
      </c>
      <c r="K14" s="44"/>
    </row>
    <row r="15" spans="1:11" s="45" customFormat="1" ht="16.5" customHeight="1" x14ac:dyDescent="0.2">
      <c r="A15" s="42" t="s">
        <v>34</v>
      </c>
      <c r="B15" s="42" t="s">
        <v>79</v>
      </c>
      <c r="C15" s="42" t="s">
        <v>101</v>
      </c>
      <c r="D15" s="42" t="s">
        <v>114</v>
      </c>
      <c r="E15" s="42" t="s">
        <v>119</v>
      </c>
      <c r="F15" s="42" t="s">
        <v>138</v>
      </c>
      <c r="G15" s="42" t="s">
        <v>180</v>
      </c>
      <c r="H15" s="42" t="s">
        <v>199</v>
      </c>
      <c r="I15" s="42" t="s">
        <v>242</v>
      </c>
      <c r="J15" s="46">
        <v>1</v>
      </c>
      <c r="K15" s="44"/>
    </row>
    <row r="16" spans="1:11" s="45" customFormat="1" ht="16.5" customHeight="1" x14ac:dyDescent="0.2">
      <c r="A16" s="41" t="s">
        <v>35</v>
      </c>
      <c r="B16" s="41" t="s">
        <v>80</v>
      </c>
      <c r="C16" s="41" t="s">
        <v>101</v>
      </c>
      <c r="D16" s="41" t="s">
        <v>115</v>
      </c>
      <c r="E16" s="41" t="s">
        <v>119</v>
      </c>
      <c r="F16" s="41" t="s">
        <v>139</v>
      </c>
      <c r="G16" s="41" t="s">
        <v>180</v>
      </c>
      <c r="H16" s="42" t="s">
        <v>200</v>
      </c>
      <c r="I16" s="42" t="s">
        <v>242</v>
      </c>
      <c r="J16" s="43">
        <v>1</v>
      </c>
      <c r="K16" s="44"/>
    </row>
    <row r="17" spans="1:11" s="45" customFormat="1" ht="16.5" customHeight="1" x14ac:dyDescent="0.2">
      <c r="A17" s="42" t="s">
        <v>36</v>
      </c>
      <c r="B17" s="42" t="s">
        <v>81</v>
      </c>
      <c r="C17" s="42" t="s">
        <v>101</v>
      </c>
      <c r="D17" s="42" t="s">
        <v>114</v>
      </c>
      <c r="E17" s="42" t="s">
        <v>119</v>
      </c>
      <c r="F17" s="42" t="s">
        <v>140</v>
      </c>
      <c r="G17" s="42" t="s">
        <v>180</v>
      </c>
      <c r="H17" s="42" t="s">
        <v>201</v>
      </c>
      <c r="I17" s="42" t="s">
        <v>243</v>
      </c>
      <c r="J17" s="46">
        <v>1</v>
      </c>
      <c r="K17" s="44"/>
    </row>
    <row r="18" spans="1:11" s="45" customFormat="1" ht="16.5" customHeight="1" x14ac:dyDescent="0.2">
      <c r="A18" s="41" t="s">
        <v>37</v>
      </c>
      <c r="B18" s="41" t="s">
        <v>82</v>
      </c>
      <c r="C18" s="41" t="s">
        <v>103</v>
      </c>
      <c r="D18" s="41" t="s">
        <v>114</v>
      </c>
      <c r="E18" s="41" t="s">
        <v>120</v>
      </c>
      <c r="F18" s="41" t="s">
        <v>141</v>
      </c>
      <c r="G18" s="41" t="s">
        <v>180</v>
      </c>
      <c r="H18" s="42" t="s">
        <v>202</v>
      </c>
      <c r="I18" s="42" t="s">
        <v>242</v>
      </c>
      <c r="J18" s="43">
        <v>3</v>
      </c>
      <c r="K18" s="44"/>
    </row>
    <row r="19" spans="1:11" s="45" customFormat="1" ht="16.5" customHeight="1" x14ac:dyDescent="0.2">
      <c r="A19" s="42" t="s">
        <v>38</v>
      </c>
      <c r="B19" s="42" t="s">
        <v>83</v>
      </c>
      <c r="C19" s="42" t="s">
        <v>103</v>
      </c>
      <c r="D19" s="42" t="s">
        <v>114</v>
      </c>
      <c r="E19" s="42" t="s">
        <v>119</v>
      </c>
      <c r="F19" s="42" t="s">
        <v>142</v>
      </c>
      <c r="G19" s="42" t="s">
        <v>180</v>
      </c>
      <c r="H19" s="42" t="s">
        <v>203</v>
      </c>
      <c r="I19" s="42" t="s">
        <v>242</v>
      </c>
      <c r="J19" s="46">
        <v>4</v>
      </c>
      <c r="K19" s="44"/>
    </row>
    <row r="20" spans="1:11" s="45" customFormat="1" ht="16.5" customHeight="1" x14ac:dyDescent="0.2">
      <c r="A20" s="41" t="s">
        <v>39</v>
      </c>
      <c r="B20" s="41" t="s">
        <v>84</v>
      </c>
      <c r="C20" s="41" t="s">
        <v>102</v>
      </c>
      <c r="D20" s="41" t="s">
        <v>114</v>
      </c>
      <c r="E20" s="41"/>
      <c r="F20" s="41" t="s">
        <v>143</v>
      </c>
      <c r="G20" s="41" t="s">
        <v>181</v>
      </c>
      <c r="H20" s="42" t="s">
        <v>204</v>
      </c>
      <c r="I20" s="42" t="s">
        <v>242</v>
      </c>
      <c r="J20" s="43">
        <v>5</v>
      </c>
      <c r="K20" s="44"/>
    </row>
    <row r="21" spans="1:11" s="45" customFormat="1" ht="16.5" customHeight="1" x14ac:dyDescent="0.2">
      <c r="A21" s="42" t="s">
        <v>40</v>
      </c>
      <c r="B21" s="42" t="s">
        <v>85</v>
      </c>
      <c r="C21" s="42" t="s">
        <v>101</v>
      </c>
      <c r="D21" s="42" t="s">
        <v>116</v>
      </c>
      <c r="E21" s="42" t="s">
        <v>119</v>
      </c>
      <c r="F21" s="42" t="s">
        <v>144</v>
      </c>
      <c r="G21" s="42" t="s">
        <v>180</v>
      </c>
      <c r="H21" s="42" t="s">
        <v>205</v>
      </c>
      <c r="I21" s="42" t="s">
        <v>242</v>
      </c>
      <c r="J21" s="46">
        <v>2</v>
      </c>
      <c r="K21" s="44"/>
    </row>
    <row r="22" spans="1:11" s="45" customFormat="1" ht="16.5" customHeight="1" x14ac:dyDescent="0.2">
      <c r="A22" s="41" t="s">
        <v>41</v>
      </c>
      <c r="B22" s="41" t="s">
        <v>86</v>
      </c>
      <c r="C22" s="41" t="s">
        <v>104</v>
      </c>
      <c r="D22" s="41" t="s">
        <v>114</v>
      </c>
      <c r="E22" s="41" t="s">
        <v>119</v>
      </c>
      <c r="F22" s="41" t="s">
        <v>145</v>
      </c>
      <c r="G22" s="41" t="s">
        <v>183</v>
      </c>
      <c r="H22" s="42" t="s">
        <v>206</v>
      </c>
      <c r="I22" s="42" t="s">
        <v>242</v>
      </c>
      <c r="J22" s="43">
        <v>16</v>
      </c>
      <c r="K22" s="44"/>
    </row>
    <row r="23" spans="1:11" s="45" customFormat="1" ht="16.5" customHeight="1" x14ac:dyDescent="0.2">
      <c r="A23" s="42" t="s">
        <v>42</v>
      </c>
      <c r="B23" s="42" t="s">
        <v>87</v>
      </c>
      <c r="C23" s="42" t="s">
        <v>101</v>
      </c>
      <c r="D23" s="42" t="s">
        <v>114</v>
      </c>
      <c r="E23" s="42" t="s">
        <v>119</v>
      </c>
      <c r="F23" s="42" t="s">
        <v>146</v>
      </c>
      <c r="G23" s="42" t="s">
        <v>180</v>
      </c>
      <c r="H23" s="42" t="s">
        <v>207</v>
      </c>
      <c r="I23" s="42" t="s">
        <v>242</v>
      </c>
      <c r="J23" s="46">
        <v>3</v>
      </c>
      <c r="K23" s="44"/>
    </row>
    <row r="24" spans="1:11" s="45" customFormat="1" ht="16.5" customHeight="1" x14ac:dyDescent="0.2">
      <c r="A24" s="41" t="s">
        <v>43</v>
      </c>
      <c r="B24" s="41"/>
      <c r="C24" s="41"/>
      <c r="D24" s="41"/>
      <c r="E24" s="41" t="s">
        <v>121</v>
      </c>
      <c r="F24" s="41" t="s">
        <v>147</v>
      </c>
      <c r="G24" s="41" t="s">
        <v>184</v>
      </c>
      <c r="H24" s="42" t="s">
        <v>208</v>
      </c>
      <c r="I24" s="42" t="s">
        <v>244</v>
      </c>
      <c r="J24" s="43">
        <v>1</v>
      </c>
      <c r="K24" s="44"/>
    </row>
    <row r="25" spans="1:11" s="45" customFormat="1" ht="16.5" customHeight="1" x14ac:dyDescent="0.2">
      <c r="A25" s="42" t="s">
        <v>44</v>
      </c>
      <c r="B25" s="42"/>
      <c r="C25" s="42"/>
      <c r="D25" s="42"/>
      <c r="E25" s="42" t="s">
        <v>122</v>
      </c>
      <c r="F25" s="42" t="s">
        <v>148</v>
      </c>
      <c r="G25" s="42" t="s">
        <v>185</v>
      </c>
      <c r="H25" s="42" t="s">
        <v>209</v>
      </c>
      <c r="I25" s="42" t="s">
        <v>244</v>
      </c>
      <c r="J25" s="46">
        <v>1</v>
      </c>
      <c r="K25" s="44"/>
    </row>
    <row r="26" spans="1:11" s="45" customFormat="1" ht="16.5" customHeight="1" x14ac:dyDescent="0.2">
      <c r="A26" s="41" t="s">
        <v>45</v>
      </c>
      <c r="B26" s="41"/>
      <c r="C26" s="41"/>
      <c r="D26" s="41"/>
      <c r="E26" s="41" t="s">
        <v>123</v>
      </c>
      <c r="F26" s="41" t="s">
        <v>149</v>
      </c>
      <c r="G26" s="41" t="s">
        <v>186</v>
      </c>
      <c r="H26" s="42" t="s">
        <v>210</v>
      </c>
      <c r="I26" s="42" t="s">
        <v>244</v>
      </c>
      <c r="J26" s="43">
        <v>4</v>
      </c>
      <c r="K26" s="44"/>
    </row>
    <row r="27" spans="1:11" s="45" customFormat="1" ht="16.5" customHeight="1" x14ac:dyDescent="0.2">
      <c r="A27" s="42" t="s">
        <v>46</v>
      </c>
      <c r="B27" s="42"/>
      <c r="C27" s="42"/>
      <c r="D27" s="42"/>
      <c r="E27" s="42" t="s">
        <v>124</v>
      </c>
      <c r="F27" s="42" t="s">
        <v>150</v>
      </c>
      <c r="G27" s="42" t="s">
        <v>185</v>
      </c>
      <c r="H27" s="42" t="s">
        <v>211</v>
      </c>
      <c r="I27" s="42" t="s">
        <v>244</v>
      </c>
      <c r="J27" s="46">
        <v>1</v>
      </c>
      <c r="K27" s="44"/>
    </row>
    <row r="28" spans="1:11" s="45" customFormat="1" ht="16.5" customHeight="1" x14ac:dyDescent="0.2">
      <c r="A28" s="41" t="s">
        <v>47</v>
      </c>
      <c r="B28" s="41"/>
      <c r="C28" s="41"/>
      <c r="D28" s="41"/>
      <c r="E28" s="41" t="s">
        <v>122</v>
      </c>
      <c r="F28" s="41" t="s">
        <v>151</v>
      </c>
      <c r="G28" s="41" t="s">
        <v>186</v>
      </c>
      <c r="H28" s="42" t="s">
        <v>212</v>
      </c>
      <c r="I28" s="42" t="s">
        <v>244</v>
      </c>
      <c r="J28" s="43">
        <v>3</v>
      </c>
      <c r="K28" s="44"/>
    </row>
    <row r="29" spans="1:11" s="50" customFormat="1" ht="16.5" customHeight="1" x14ac:dyDescent="0.2">
      <c r="A29" s="47" t="s">
        <v>48</v>
      </c>
      <c r="B29" s="47"/>
      <c r="C29" s="47"/>
      <c r="D29" s="47"/>
      <c r="E29" s="47" t="s">
        <v>125</v>
      </c>
      <c r="F29" s="47" t="s">
        <v>152</v>
      </c>
      <c r="G29" s="47" t="s">
        <v>186</v>
      </c>
      <c r="H29" s="47" t="s">
        <v>213</v>
      </c>
      <c r="I29" s="47" t="s">
        <v>245</v>
      </c>
      <c r="J29" s="48">
        <v>1</v>
      </c>
      <c r="K29" s="49"/>
    </row>
    <row r="30" spans="1:11" s="45" customFormat="1" ht="16.5" customHeight="1" x14ac:dyDescent="0.2">
      <c r="A30" s="41" t="s">
        <v>49</v>
      </c>
      <c r="B30" s="41"/>
      <c r="C30" s="41"/>
      <c r="D30" s="41"/>
      <c r="E30" s="41" t="s">
        <v>119</v>
      </c>
      <c r="F30" s="41" t="s">
        <v>153</v>
      </c>
      <c r="G30" s="41" t="s">
        <v>187</v>
      </c>
      <c r="H30" s="42" t="s">
        <v>214</v>
      </c>
      <c r="I30" s="42" t="s">
        <v>246</v>
      </c>
      <c r="J30" s="43">
        <v>1</v>
      </c>
      <c r="K30" s="44"/>
    </row>
    <row r="31" spans="1:11" s="45" customFormat="1" ht="16.5" customHeight="1" x14ac:dyDescent="0.2">
      <c r="A31" s="42" t="s">
        <v>50</v>
      </c>
      <c r="B31" s="42"/>
      <c r="C31" s="42" t="s">
        <v>105</v>
      </c>
      <c r="D31" s="42"/>
      <c r="E31" s="42" t="s">
        <v>126</v>
      </c>
      <c r="F31" s="42" t="s">
        <v>154</v>
      </c>
      <c r="G31" s="42" t="s">
        <v>180</v>
      </c>
      <c r="H31" s="42" t="s">
        <v>215</v>
      </c>
      <c r="I31" s="42" t="s">
        <v>247</v>
      </c>
      <c r="J31" s="46">
        <v>3</v>
      </c>
      <c r="K31" s="44"/>
    </row>
    <row r="32" spans="1:11" s="45" customFormat="1" ht="16.5" customHeight="1" x14ac:dyDescent="0.2">
      <c r="A32" s="41" t="s">
        <v>51</v>
      </c>
      <c r="B32" s="41" t="s">
        <v>88</v>
      </c>
      <c r="C32" s="41"/>
      <c r="D32" s="41" t="s">
        <v>117</v>
      </c>
      <c r="E32" s="41" t="s">
        <v>122</v>
      </c>
      <c r="F32" s="41" t="s">
        <v>155</v>
      </c>
      <c r="G32" s="41" t="s">
        <v>188</v>
      </c>
      <c r="H32" s="42" t="s">
        <v>216</v>
      </c>
      <c r="I32" s="42" t="s">
        <v>248</v>
      </c>
      <c r="J32" s="43">
        <v>1</v>
      </c>
      <c r="K32" s="44"/>
    </row>
    <row r="33" spans="1:11" s="45" customFormat="1" ht="16.5" customHeight="1" x14ac:dyDescent="0.2">
      <c r="A33" s="42" t="s">
        <v>52</v>
      </c>
      <c r="B33" s="42" t="s">
        <v>89</v>
      </c>
      <c r="C33" s="42"/>
      <c r="D33" s="42"/>
      <c r="E33" s="42" t="s">
        <v>119</v>
      </c>
      <c r="F33" s="42" t="s">
        <v>156</v>
      </c>
      <c r="G33" s="42" t="s">
        <v>180</v>
      </c>
      <c r="H33" s="42" t="s">
        <v>217</v>
      </c>
      <c r="I33" s="42" t="s">
        <v>249</v>
      </c>
      <c r="J33" s="46">
        <v>4</v>
      </c>
      <c r="K33" s="44"/>
    </row>
    <row r="34" spans="1:11" s="45" customFormat="1" ht="16.5" customHeight="1" x14ac:dyDescent="0.2">
      <c r="A34" s="41" t="s">
        <v>53</v>
      </c>
      <c r="B34" s="41" t="s">
        <v>90</v>
      </c>
      <c r="C34" s="41" t="s">
        <v>106</v>
      </c>
      <c r="D34" s="41" t="s">
        <v>118</v>
      </c>
      <c r="E34" s="41" t="s">
        <v>127</v>
      </c>
      <c r="F34" s="41" t="s">
        <v>157</v>
      </c>
      <c r="G34" s="41" t="s">
        <v>180</v>
      </c>
      <c r="H34" s="42" t="s">
        <v>218</v>
      </c>
      <c r="I34" s="42" t="s">
        <v>243</v>
      </c>
      <c r="J34" s="43">
        <v>1</v>
      </c>
      <c r="K34" s="44"/>
    </row>
    <row r="35" spans="1:11" s="45" customFormat="1" ht="16.5" customHeight="1" x14ac:dyDescent="0.2">
      <c r="A35" s="42" t="s">
        <v>54</v>
      </c>
      <c r="B35" s="42" t="s">
        <v>91</v>
      </c>
      <c r="C35" s="42" t="s">
        <v>106</v>
      </c>
      <c r="D35" s="42" t="s">
        <v>118</v>
      </c>
      <c r="E35" s="42" t="s">
        <v>127</v>
      </c>
      <c r="F35" s="42" t="s">
        <v>158</v>
      </c>
      <c r="G35" s="42" t="s">
        <v>180</v>
      </c>
      <c r="H35" s="42" t="s">
        <v>219</v>
      </c>
      <c r="I35" s="42" t="s">
        <v>243</v>
      </c>
      <c r="J35" s="46">
        <v>1</v>
      </c>
      <c r="K35" s="44"/>
    </row>
    <row r="36" spans="1:11" s="45" customFormat="1" ht="16.5" customHeight="1" x14ac:dyDescent="0.2">
      <c r="A36" s="41" t="s">
        <v>55</v>
      </c>
      <c r="B36" s="41" t="s">
        <v>92</v>
      </c>
      <c r="C36" s="41" t="s">
        <v>106</v>
      </c>
      <c r="D36" s="41" t="s">
        <v>118</v>
      </c>
      <c r="E36" s="41" t="s">
        <v>127</v>
      </c>
      <c r="F36" s="41" t="s">
        <v>159</v>
      </c>
      <c r="G36" s="41" t="s">
        <v>180</v>
      </c>
      <c r="H36" s="42" t="s">
        <v>220</v>
      </c>
      <c r="I36" s="42" t="s">
        <v>243</v>
      </c>
      <c r="J36" s="43">
        <v>1</v>
      </c>
      <c r="K36" s="44"/>
    </row>
    <row r="37" spans="1:11" s="45" customFormat="1" ht="16.5" customHeight="1" x14ac:dyDescent="0.2">
      <c r="A37" s="42" t="s">
        <v>56</v>
      </c>
      <c r="B37" s="42" t="s">
        <v>93</v>
      </c>
      <c r="C37" s="42" t="s">
        <v>106</v>
      </c>
      <c r="D37" s="42" t="s">
        <v>118</v>
      </c>
      <c r="E37" s="42" t="s">
        <v>127</v>
      </c>
      <c r="F37" s="42" t="s">
        <v>160</v>
      </c>
      <c r="G37" s="42" t="s">
        <v>180</v>
      </c>
      <c r="H37" s="42" t="s">
        <v>221</v>
      </c>
      <c r="I37" s="42" t="s">
        <v>243</v>
      </c>
      <c r="J37" s="46">
        <v>1</v>
      </c>
      <c r="K37" s="44"/>
    </row>
    <row r="38" spans="1:11" s="45" customFormat="1" ht="16.5" customHeight="1" x14ac:dyDescent="0.2">
      <c r="A38" s="41" t="s">
        <v>57</v>
      </c>
      <c r="B38" s="41" t="s">
        <v>94</v>
      </c>
      <c r="C38" s="41" t="s">
        <v>106</v>
      </c>
      <c r="D38" s="41" t="s">
        <v>118</v>
      </c>
      <c r="E38" s="41" t="s">
        <v>127</v>
      </c>
      <c r="F38" s="41" t="s">
        <v>161</v>
      </c>
      <c r="G38" s="41" t="s">
        <v>180</v>
      </c>
      <c r="H38" s="42" t="s">
        <v>222</v>
      </c>
      <c r="I38" s="42" t="s">
        <v>243</v>
      </c>
      <c r="J38" s="43">
        <v>1</v>
      </c>
      <c r="K38" s="44"/>
    </row>
    <row r="39" spans="1:11" s="45" customFormat="1" ht="16.5" customHeight="1" x14ac:dyDescent="0.2">
      <c r="A39" s="42" t="s">
        <v>58</v>
      </c>
      <c r="B39" s="42" t="s">
        <v>95</v>
      </c>
      <c r="C39" s="42" t="s">
        <v>106</v>
      </c>
      <c r="D39" s="42" t="s">
        <v>118</v>
      </c>
      <c r="E39" s="42" t="s">
        <v>127</v>
      </c>
      <c r="F39" s="42" t="s">
        <v>162</v>
      </c>
      <c r="G39" s="42" t="s">
        <v>180</v>
      </c>
      <c r="H39" s="42" t="s">
        <v>223</v>
      </c>
      <c r="I39" s="42" t="s">
        <v>243</v>
      </c>
      <c r="J39" s="46">
        <v>5</v>
      </c>
      <c r="K39" s="44"/>
    </row>
    <row r="40" spans="1:11" s="45" customFormat="1" ht="16.5" customHeight="1" x14ac:dyDescent="0.2">
      <c r="A40" s="41" t="s">
        <v>59</v>
      </c>
      <c r="B40" s="41" t="s">
        <v>96</v>
      </c>
      <c r="C40" s="41" t="s">
        <v>106</v>
      </c>
      <c r="D40" s="41" t="s">
        <v>118</v>
      </c>
      <c r="E40" s="41" t="s">
        <v>127</v>
      </c>
      <c r="F40" s="41" t="s">
        <v>163</v>
      </c>
      <c r="G40" s="41" t="s">
        <v>180</v>
      </c>
      <c r="H40" s="42" t="s">
        <v>224</v>
      </c>
      <c r="I40" s="42" t="s">
        <v>243</v>
      </c>
      <c r="J40" s="43">
        <v>2</v>
      </c>
      <c r="K40" s="44"/>
    </row>
    <row r="41" spans="1:11" s="45" customFormat="1" ht="16.5" customHeight="1" x14ac:dyDescent="0.2">
      <c r="A41" s="42" t="s">
        <v>60</v>
      </c>
      <c r="B41" s="42" t="s">
        <v>97</v>
      </c>
      <c r="C41" s="42" t="s">
        <v>106</v>
      </c>
      <c r="D41" s="42" t="s">
        <v>118</v>
      </c>
      <c r="E41" s="42" t="s">
        <v>127</v>
      </c>
      <c r="F41" s="42" t="s">
        <v>164</v>
      </c>
      <c r="G41" s="42" t="s">
        <v>180</v>
      </c>
      <c r="H41" s="42" t="s">
        <v>225</v>
      </c>
      <c r="I41" s="42" t="s">
        <v>243</v>
      </c>
      <c r="J41" s="46">
        <v>12</v>
      </c>
      <c r="K41" s="44"/>
    </row>
    <row r="42" spans="1:11" s="45" customFormat="1" ht="16.5" customHeight="1" x14ac:dyDescent="0.2">
      <c r="A42" s="41" t="s">
        <v>61</v>
      </c>
      <c r="B42" s="41" t="s">
        <v>98</v>
      </c>
      <c r="C42" s="41" t="s">
        <v>106</v>
      </c>
      <c r="D42" s="41" t="s">
        <v>118</v>
      </c>
      <c r="E42" s="41" t="s">
        <v>127</v>
      </c>
      <c r="F42" s="41" t="s">
        <v>165</v>
      </c>
      <c r="G42" s="41" t="s">
        <v>180</v>
      </c>
      <c r="H42" s="42" t="s">
        <v>226</v>
      </c>
      <c r="I42" s="42" t="s">
        <v>243</v>
      </c>
      <c r="J42" s="43">
        <v>13</v>
      </c>
      <c r="K42" s="44"/>
    </row>
    <row r="43" spans="1:11" s="45" customFormat="1" ht="16.5" customHeight="1" x14ac:dyDescent="0.2">
      <c r="A43" s="42" t="s">
        <v>62</v>
      </c>
      <c r="B43" s="42" t="s">
        <v>99</v>
      </c>
      <c r="C43" s="42" t="s">
        <v>106</v>
      </c>
      <c r="D43" s="42" t="s">
        <v>118</v>
      </c>
      <c r="E43" s="42" t="s">
        <v>127</v>
      </c>
      <c r="F43" s="42" t="s">
        <v>166</v>
      </c>
      <c r="G43" s="42" t="s">
        <v>180</v>
      </c>
      <c r="H43" s="42" t="s">
        <v>227</v>
      </c>
      <c r="I43" s="42" t="s">
        <v>243</v>
      </c>
      <c r="J43" s="46">
        <v>2</v>
      </c>
      <c r="K43" s="44"/>
    </row>
    <row r="44" spans="1:11" s="45" customFormat="1" ht="16.5" customHeight="1" x14ac:dyDescent="0.2">
      <c r="A44" s="41" t="s">
        <v>63</v>
      </c>
      <c r="B44" s="41" t="s">
        <v>100</v>
      </c>
      <c r="C44" s="41"/>
      <c r="D44" s="41" t="s">
        <v>118</v>
      </c>
      <c r="E44" s="41" t="s">
        <v>128</v>
      </c>
      <c r="F44" s="41" t="s">
        <v>167</v>
      </c>
      <c r="G44" s="41" t="s">
        <v>189</v>
      </c>
      <c r="H44" s="42" t="s">
        <v>228</v>
      </c>
      <c r="I44" s="42" t="s">
        <v>248</v>
      </c>
      <c r="J44" s="43">
        <v>6</v>
      </c>
      <c r="K44" s="44"/>
    </row>
    <row r="45" spans="1:11" s="45" customFormat="1" ht="16.5" customHeight="1" x14ac:dyDescent="0.2">
      <c r="A45" s="42" t="s">
        <v>64</v>
      </c>
      <c r="B45" s="42" t="s">
        <v>97</v>
      </c>
      <c r="C45" s="42"/>
      <c r="D45" s="42" t="s">
        <v>118</v>
      </c>
      <c r="E45" s="42" t="s">
        <v>122</v>
      </c>
      <c r="F45" s="42" t="s">
        <v>168</v>
      </c>
      <c r="G45" s="42" t="s">
        <v>180</v>
      </c>
      <c r="H45" s="42" t="s">
        <v>229</v>
      </c>
      <c r="I45" s="42" t="s">
        <v>249</v>
      </c>
      <c r="J45" s="46">
        <v>1</v>
      </c>
      <c r="K45" s="44"/>
    </row>
    <row r="46" spans="1:11" s="45" customFormat="1" ht="16.5" customHeight="1" x14ac:dyDescent="0.2">
      <c r="A46" s="41" t="s">
        <v>65</v>
      </c>
      <c r="B46" s="41"/>
      <c r="C46" s="41" t="s">
        <v>107</v>
      </c>
      <c r="D46" s="41"/>
      <c r="E46" s="41" t="s">
        <v>129</v>
      </c>
      <c r="F46" s="41" t="s">
        <v>169</v>
      </c>
      <c r="G46" s="41" t="s">
        <v>190</v>
      </c>
      <c r="H46" s="42" t="s">
        <v>230</v>
      </c>
      <c r="I46" s="42" t="s">
        <v>250</v>
      </c>
      <c r="J46" s="43">
        <v>1</v>
      </c>
      <c r="K46" s="44"/>
    </row>
    <row r="47" spans="1:11" s="45" customFormat="1" ht="16.5" customHeight="1" x14ac:dyDescent="0.2">
      <c r="A47" s="42" t="s">
        <v>66</v>
      </c>
      <c r="B47" s="42"/>
      <c r="C47" s="42" t="s">
        <v>108</v>
      </c>
      <c r="D47" s="42"/>
      <c r="E47" s="42" t="s">
        <v>130</v>
      </c>
      <c r="F47" s="42" t="s">
        <v>170</v>
      </c>
      <c r="G47" s="42" t="s">
        <v>191</v>
      </c>
      <c r="H47" s="42" t="s">
        <v>231</v>
      </c>
      <c r="I47" s="42" t="s">
        <v>250</v>
      </c>
      <c r="J47" s="46">
        <v>1</v>
      </c>
      <c r="K47" s="44"/>
    </row>
    <row r="48" spans="1:11" s="55" customFormat="1" ht="16.5" customHeight="1" x14ac:dyDescent="0.2">
      <c r="A48" s="51" t="s">
        <v>67</v>
      </c>
      <c r="B48" s="51"/>
      <c r="C48" s="51" t="s">
        <v>104</v>
      </c>
      <c r="D48" s="51"/>
      <c r="E48" s="51" t="s">
        <v>131</v>
      </c>
      <c r="F48" s="51" t="s">
        <v>171</v>
      </c>
      <c r="G48" s="51" t="s">
        <v>192</v>
      </c>
      <c r="H48" s="52" t="s">
        <v>232</v>
      </c>
      <c r="I48" s="52" t="s">
        <v>251</v>
      </c>
      <c r="J48" s="53">
        <v>4</v>
      </c>
      <c r="K48" s="54" t="s">
        <v>263</v>
      </c>
    </row>
    <row r="49" spans="1:11" s="45" customFormat="1" ht="16.5" customHeight="1" x14ac:dyDescent="0.2">
      <c r="A49" s="42" t="s">
        <v>68</v>
      </c>
      <c r="B49" s="42"/>
      <c r="C49" s="42" t="s">
        <v>109</v>
      </c>
      <c r="D49" s="42"/>
      <c r="E49" s="42" t="s">
        <v>132</v>
      </c>
      <c r="F49" s="42" t="s">
        <v>172</v>
      </c>
      <c r="G49" s="42" t="s">
        <v>193</v>
      </c>
      <c r="H49" s="42" t="s">
        <v>233</v>
      </c>
      <c r="I49" s="42" t="s">
        <v>245</v>
      </c>
      <c r="J49" s="46">
        <v>1</v>
      </c>
      <c r="K49" s="44"/>
    </row>
    <row r="50" spans="1:11" s="55" customFormat="1" ht="16.5" customHeight="1" x14ac:dyDescent="0.2">
      <c r="A50" s="51" t="s">
        <v>69</v>
      </c>
      <c r="B50" s="51"/>
      <c r="C50" s="51" t="s">
        <v>110</v>
      </c>
      <c r="D50" s="51"/>
      <c r="E50" s="51" t="s">
        <v>130</v>
      </c>
      <c r="F50" s="51" t="s">
        <v>173</v>
      </c>
      <c r="G50" s="51" t="s">
        <v>194</v>
      </c>
      <c r="H50" s="52" t="s">
        <v>234</v>
      </c>
      <c r="I50" s="52" t="s">
        <v>251</v>
      </c>
      <c r="J50" s="53">
        <v>4</v>
      </c>
      <c r="K50" s="54" t="s">
        <v>263</v>
      </c>
    </row>
    <row r="51" spans="1:11" s="45" customFormat="1" ht="16.5" customHeight="1" x14ac:dyDescent="0.2">
      <c r="A51" s="42" t="s">
        <v>70</v>
      </c>
      <c r="B51" s="42"/>
      <c r="C51" s="42" t="s">
        <v>104</v>
      </c>
      <c r="D51" s="42"/>
      <c r="E51" s="42" t="s">
        <v>119</v>
      </c>
      <c r="F51" s="42" t="s">
        <v>174</v>
      </c>
      <c r="G51" s="42" t="s">
        <v>193</v>
      </c>
      <c r="H51" s="42" t="s">
        <v>235</v>
      </c>
      <c r="I51" s="42" t="s">
        <v>250</v>
      </c>
      <c r="J51" s="46">
        <v>1</v>
      </c>
      <c r="K51" s="44"/>
    </row>
    <row r="52" spans="1:11" s="45" customFormat="1" ht="16.5" customHeight="1" x14ac:dyDescent="0.2">
      <c r="A52" s="41" t="s">
        <v>71</v>
      </c>
      <c r="B52" s="41"/>
      <c r="C52" s="41" t="s">
        <v>111</v>
      </c>
      <c r="D52" s="41"/>
      <c r="E52" s="41" t="s">
        <v>132</v>
      </c>
      <c r="F52" s="41" t="s">
        <v>175</v>
      </c>
      <c r="G52" s="41" t="s">
        <v>195</v>
      </c>
      <c r="H52" s="42" t="s">
        <v>236</v>
      </c>
      <c r="I52" s="42" t="s">
        <v>252</v>
      </c>
      <c r="J52" s="43">
        <v>9</v>
      </c>
      <c r="K52" s="44"/>
    </row>
    <row r="53" spans="1:11" s="45" customFormat="1" ht="16.5" customHeight="1" x14ac:dyDescent="0.2">
      <c r="A53" s="42" t="s">
        <v>72</v>
      </c>
      <c r="B53" s="42"/>
      <c r="C53" s="42" t="s">
        <v>112</v>
      </c>
      <c r="D53" s="42"/>
      <c r="E53" s="42" t="s">
        <v>133</v>
      </c>
      <c r="F53" s="42" t="s">
        <v>176</v>
      </c>
      <c r="G53" s="42"/>
      <c r="H53" s="42" t="s">
        <v>237</v>
      </c>
      <c r="I53" s="42" t="s">
        <v>253</v>
      </c>
      <c r="J53" s="46">
        <v>1</v>
      </c>
      <c r="K53" s="44"/>
    </row>
    <row r="54" spans="1:11" s="50" customFormat="1" ht="16.5" customHeight="1" x14ac:dyDescent="0.2">
      <c r="A54" s="56" t="s">
        <v>73</v>
      </c>
      <c r="B54" s="56"/>
      <c r="C54" s="56" t="s">
        <v>113</v>
      </c>
      <c r="D54" s="56"/>
      <c r="E54" s="56" t="s">
        <v>133</v>
      </c>
      <c r="F54" s="56" t="s">
        <v>177</v>
      </c>
      <c r="G54" s="56"/>
      <c r="H54" s="47" t="s">
        <v>238</v>
      </c>
      <c r="I54" s="47" t="s">
        <v>254</v>
      </c>
      <c r="J54" s="57">
        <v>1</v>
      </c>
      <c r="K54" s="49"/>
    </row>
    <row r="55" spans="1:11" s="50" customFormat="1" ht="16.5" customHeight="1" x14ac:dyDescent="0.2">
      <c r="A55" s="47" t="s">
        <v>74</v>
      </c>
      <c r="B55" s="47"/>
      <c r="C55" s="47" t="s">
        <v>113</v>
      </c>
      <c r="D55" s="47"/>
      <c r="E55" s="47" t="s">
        <v>133</v>
      </c>
      <c r="F55" s="47" t="s">
        <v>178</v>
      </c>
      <c r="G55" s="47"/>
      <c r="H55" s="47" t="s">
        <v>239</v>
      </c>
      <c r="I55" s="47" t="s">
        <v>254</v>
      </c>
      <c r="J55" s="48">
        <v>1</v>
      </c>
      <c r="K55" s="49"/>
    </row>
    <row r="56" spans="1:11" s="50" customFormat="1" ht="16.5" customHeight="1" x14ac:dyDescent="0.2">
      <c r="A56" s="56" t="s">
        <v>75</v>
      </c>
      <c r="B56" s="56"/>
      <c r="C56" s="56" t="s">
        <v>112</v>
      </c>
      <c r="D56" s="56"/>
      <c r="E56" s="56" t="s">
        <v>134</v>
      </c>
      <c r="F56" s="56" t="s">
        <v>179</v>
      </c>
      <c r="G56" s="56"/>
      <c r="H56" s="47" t="s">
        <v>240</v>
      </c>
      <c r="I56" s="47" t="s">
        <v>255</v>
      </c>
      <c r="J56" s="57">
        <v>1</v>
      </c>
      <c r="K56" s="49"/>
    </row>
    <row r="57" spans="1:11" s="50" customFormat="1" ht="16.5" customHeight="1" x14ac:dyDescent="0.2">
      <c r="A57" s="47" t="s">
        <v>76</v>
      </c>
      <c r="B57" s="47"/>
      <c r="C57" s="47" t="s">
        <v>112</v>
      </c>
      <c r="D57" s="47"/>
      <c r="E57" s="47" t="s">
        <v>133</v>
      </c>
      <c r="F57" s="47" t="s">
        <v>176</v>
      </c>
      <c r="G57" s="47"/>
      <c r="H57" s="47" t="s">
        <v>241</v>
      </c>
      <c r="I57" s="47" t="s">
        <v>253</v>
      </c>
      <c r="J57" s="48">
        <v>1</v>
      </c>
      <c r="K57" s="49"/>
    </row>
    <row r="58" spans="1:11" x14ac:dyDescent="0.2">
      <c r="A58" s="26"/>
      <c r="B58" s="33"/>
      <c r="C58" s="33"/>
      <c r="D58" s="33"/>
      <c r="E58" s="33"/>
      <c r="F58" s="13"/>
      <c r="G58" s="13"/>
      <c r="H58" s="13"/>
      <c r="I58" s="13"/>
      <c r="J58" s="34">
        <f>SUM(J12:J57)</f>
        <v>144</v>
      </c>
      <c r="K58" s="13"/>
    </row>
    <row r="59" spans="1:11" ht="13.7" customHeight="1" x14ac:dyDescent="0.2">
      <c r="A59" s="13"/>
      <c r="B59" s="13"/>
      <c r="C59" s="13"/>
      <c r="D59" s="13"/>
      <c r="E59" s="13"/>
      <c r="F59" s="13"/>
      <c r="G59" s="13"/>
      <c r="H59" s="13"/>
      <c r="I59" s="13"/>
      <c r="J59" s="27" t="s">
        <v>3</v>
      </c>
      <c r="K59" s="13"/>
    </row>
    <row r="60" spans="1:11" ht="12.95" customHeight="1" x14ac:dyDescent="0.2">
      <c r="A60" s="13"/>
      <c r="B60" s="13"/>
      <c r="C60" s="13"/>
      <c r="D60" s="13"/>
      <c r="E60" s="13"/>
      <c r="F60" s="13"/>
      <c r="G60" s="13"/>
      <c r="H60" s="13"/>
      <c r="I60" s="13"/>
      <c r="J60" s="27"/>
      <c r="K60" s="13"/>
    </row>
    <row r="61" spans="1:11" ht="12.95" customHeight="1" x14ac:dyDescent="0.2">
      <c r="J61" s="21"/>
    </row>
    <row r="62" spans="1:11" ht="12.95" customHeight="1" x14ac:dyDescent="0.2">
      <c r="J62" s="21"/>
    </row>
    <row r="63" spans="1:11" ht="12.95" customHeight="1" x14ac:dyDescent="0.2">
      <c r="J63" s="21"/>
    </row>
    <row r="64" spans="1:11" ht="9.75" customHeight="1" x14ac:dyDescent="0.2">
      <c r="J64" s="21"/>
    </row>
    <row r="65" spans="10:10" ht="12.95" customHeight="1" x14ac:dyDescent="0.2">
      <c r="J65" s="21"/>
    </row>
    <row r="66" spans="10:10" ht="12.95" customHeight="1" x14ac:dyDescent="0.2">
      <c r="J66" s="21"/>
    </row>
    <row r="67" spans="10:10" ht="12.95" customHeight="1" x14ac:dyDescent="0.2">
      <c r="J67" s="21"/>
    </row>
  </sheetData>
  <pageMargins left="0.46" right="0.36" top="0.57999999999999996" bottom="1" header="0.5" footer="0.5"/>
  <pageSetup paperSize="9" orientation="landscape" horizontalDpi="200" verticalDpi="200" r:id="rId1"/>
  <headerFooter alignWithMargins="0">
    <oddFooter>&amp;L&amp;BAltium Limited Confidential&amp;B&amp;C&amp;D&amp;RPage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9" sqref="B19"/>
    </sheetView>
  </sheetViews>
  <sheetFormatPr defaultColWidth="9.140625" defaultRowHeight="12.75" x14ac:dyDescent="0.2"/>
  <cols>
    <col min="1" max="1" width="30.28515625" style="11" customWidth="1"/>
    <col min="2" max="2" width="108.5703125" style="11" customWidth="1"/>
  </cols>
  <sheetData>
    <row r="1" spans="1:2" s="13" customFormat="1" ht="17.25" customHeight="1" x14ac:dyDescent="0.2">
      <c r="A1" s="12" t="s">
        <v>5</v>
      </c>
      <c r="B1" s="37" t="s">
        <v>256</v>
      </c>
    </row>
    <row r="2" spans="1:2" s="13" customFormat="1" ht="17.25" customHeight="1" x14ac:dyDescent="0.2">
      <c r="A2" s="14" t="s">
        <v>7</v>
      </c>
      <c r="B2" s="38" t="s">
        <v>257</v>
      </c>
    </row>
    <row r="3" spans="1:2" s="13" customFormat="1" ht="17.25" customHeight="1" x14ac:dyDescent="0.2">
      <c r="A3" s="15" t="s">
        <v>6</v>
      </c>
      <c r="B3" s="39" t="s">
        <v>258</v>
      </c>
    </row>
    <row r="4" spans="1:2" s="13" customFormat="1" ht="17.25" customHeight="1" x14ac:dyDescent="0.2">
      <c r="A4" s="14" t="s">
        <v>8</v>
      </c>
      <c r="B4" s="38" t="s">
        <v>257</v>
      </c>
    </row>
    <row r="5" spans="1:2" s="13" customFormat="1" ht="17.25" customHeight="1" x14ac:dyDescent="0.2">
      <c r="A5" s="15" t="s">
        <v>9</v>
      </c>
      <c r="B5" s="39" t="s">
        <v>256</v>
      </c>
    </row>
    <row r="6" spans="1:2" s="13" customFormat="1" ht="17.25" customHeight="1" x14ac:dyDescent="0.2">
      <c r="A6" s="14" t="s">
        <v>4</v>
      </c>
      <c r="B6" s="38" t="s">
        <v>27</v>
      </c>
    </row>
    <row r="7" spans="1:2" s="13" customFormat="1" ht="17.25" customHeight="1" x14ac:dyDescent="0.2">
      <c r="A7" s="15" t="s">
        <v>10</v>
      </c>
      <c r="B7" s="39" t="s">
        <v>259</v>
      </c>
    </row>
    <row r="8" spans="1:2" s="13" customFormat="1" ht="17.25" customHeight="1" x14ac:dyDescent="0.2">
      <c r="A8" s="14" t="s">
        <v>11</v>
      </c>
      <c r="B8" s="38" t="s">
        <v>29</v>
      </c>
    </row>
    <row r="9" spans="1:2" s="13" customFormat="1" ht="17.25" customHeight="1" x14ac:dyDescent="0.2">
      <c r="A9" s="15" t="s">
        <v>12</v>
      </c>
      <c r="B9" s="39" t="s">
        <v>28</v>
      </c>
    </row>
    <row r="10" spans="1:2" s="13" customFormat="1" ht="17.25" customHeight="1" x14ac:dyDescent="0.2">
      <c r="A10" s="14" t="s">
        <v>14</v>
      </c>
      <c r="B10" s="38" t="s">
        <v>260</v>
      </c>
    </row>
    <row r="11" spans="1:2" s="13" customFormat="1" ht="17.25" customHeight="1" x14ac:dyDescent="0.2">
      <c r="A11" s="15" t="s">
        <v>13</v>
      </c>
      <c r="B11" s="39" t="s">
        <v>18</v>
      </c>
    </row>
    <row r="12" spans="1:2" s="13" customFormat="1" ht="17.25" customHeight="1" x14ac:dyDescent="0.2">
      <c r="A12" s="14" t="s">
        <v>15</v>
      </c>
      <c r="B12" s="38" t="s">
        <v>261</v>
      </c>
    </row>
    <row r="13" spans="1:2" s="13" customFormat="1" ht="17.25" customHeight="1" x14ac:dyDescent="0.2">
      <c r="A13" s="15" t="s">
        <v>16</v>
      </c>
      <c r="B13" s="39" t="s">
        <v>262</v>
      </c>
    </row>
    <row r="14" spans="1:2" s="13" customFormat="1" ht="17.25" customHeight="1" thickBot="1" x14ac:dyDescent="0.25">
      <c r="A14" s="16" t="s">
        <v>17</v>
      </c>
      <c r="B14" s="4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BOM Report</vt:lpstr>
      <vt:lpstr>Project Information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rename_me</dc:creator>
  <cp:lastModifiedBy>Montazh01</cp:lastModifiedBy>
  <cp:lastPrinted>2002-11-05T13:50:54Z</cp:lastPrinted>
  <dcterms:created xsi:type="dcterms:W3CDTF">2000-10-27T00:30:29Z</dcterms:created>
  <dcterms:modified xsi:type="dcterms:W3CDTF">2024-06-19T16:54:38Z</dcterms:modified>
</cp:coreProperties>
</file>
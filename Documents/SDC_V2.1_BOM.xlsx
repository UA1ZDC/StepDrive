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ltium_backup\Projects\Saturn\SDC_V2.1\Project Outputs for SDC_V2.1\"/>
    </mc:Choice>
  </mc:AlternateContent>
  <xr:revisionPtr revIDLastSave="0" documentId="8_{1D0608DC-B648-42FC-B1CB-A5D16D619660}" xr6:coauthVersionLast="45" xr6:coauthVersionMax="45" xr10:uidLastSave="{00000000-0000-0000-0000-000000000000}"/>
  <bookViews>
    <workbookView xWindow="2865" yWindow="2265" windowWidth="17775" windowHeight="11460" xr2:uid="{00000000-000D-0000-FFFF-FFFF00000000}"/>
  </bookViews>
  <sheets>
    <sheet name="BOM Report" sheetId="1" r:id="rId1"/>
    <sheet name="Project Informat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46" i="1" l="1"/>
  <c r="E8" i="1" l="1"/>
  <c r="B8" i="1"/>
</calcChain>
</file>

<file path=xl/sharedStrings.xml><?xml version="1.0" encoding="utf-8"?>
<sst xmlns="http://schemas.openxmlformats.org/spreadsheetml/2006/main" count="1009" uniqueCount="612">
  <si>
    <t>Creation Date:</t>
  </si>
  <si>
    <t>Print Date:</t>
  </si>
  <si>
    <t xml:space="preserve"> 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</si>
  <si>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</si>
  <si>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</si>
  <si>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</si>
  <si>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</si>
  <si>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</si>
  <si>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</si>
  <si>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</si>
  <si>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</si>
  <si>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</si>
  <si>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</si>
  <si>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</si>
  <si>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</si>
  <si>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</si>
  <si>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</si>
  <si>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Bill of Materials</t>
  </si>
  <si>
    <t>Bill of Materials for Project [SDC_V2.1.PrjPcb] (No PCB Document Selected)</t>
  </si>
  <si>
    <t>02.02.2024</t>
  </si>
  <si>
    <t>1:39</t>
  </si>
  <si>
    <t>Designator</t>
  </si>
  <si>
    <t>C1, C2, C111, C112, C181</t>
  </si>
  <si>
    <t>C3, C9, C10, C12, C13, C14, C15, C16, C17, C18, C19, C20, C21, C22, C23, C25, C26, C27, C28, C30, C31, C32, C33, C34, C35, C38, C39, C41, C43, C44, C45, C46, C47, C48, C49, C50, C51, C52, C53, C56, C57, C59, C61, C63, C65, C66, C68, C69, C70, C72, C74, C75, C77, C79, C80, C82, C83, C86, C88, C89, C91, C94, C96, C97, C100, C101, C102, C103, C104, C106, C108, C109, C110, C113, C116, C117, C121, C124, C126, C144, C146, C147, C149, C160, C172</t>
  </si>
  <si>
    <t>C4</t>
  </si>
  <si>
    <t>C5, C6</t>
  </si>
  <si>
    <t>C7, C8</t>
  </si>
  <si>
    <t>C11, C24, C42, C60, C62, C64, C67, C71, C73, C76, C78, C81, C99, C118, C122, C125</t>
  </si>
  <si>
    <t>C29, C84, C87, C92, C95, C105, C107, C123, C143, C159</t>
  </si>
  <si>
    <t>C36, C37, C54, C55, C162, C163, C174, C175, C178, C179</t>
  </si>
  <si>
    <t>C40, C58, C115</t>
  </si>
  <si>
    <t>C85, C90, C93, C98, C161, C166, C167, C173</t>
  </si>
  <si>
    <t>C114</t>
  </si>
  <si>
    <t>C127, C142</t>
  </si>
  <si>
    <t>C128</t>
  </si>
  <si>
    <t>C129, C130</t>
  </si>
  <si>
    <t>C131, C132</t>
  </si>
  <si>
    <t>C133, C134, C152, C153, C155</t>
  </si>
  <si>
    <t>C135</t>
  </si>
  <si>
    <t>C136, C137, C138, C154, C156, C157, C158, C164, C165, C176, C177</t>
  </si>
  <si>
    <t>C139, C140</t>
  </si>
  <si>
    <t>C141</t>
  </si>
  <si>
    <t>C145</t>
  </si>
  <si>
    <t>C150, C151, C180</t>
  </si>
  <si>
    <t>C168</t>
  </si>
  <si>
    <t>C169</t>
  </si>
  <si>
    <t>C170</t>
  </si>
  <si>
    <t>C171, C182</t>
  </si>
  <si>
    <t>C183, C184, C185, C186</t>
  </si>
  <si>
    <t>DA1, DA3, DA11</t>
  </si>
  <si>
    <t>DA2, DA4, DA5, DA6, DA7, DA8</t>
  </si>
  <si>
    <t>DA9, DA10</t>
  </si>
  <si>
    <t>DA12</t>
  </si>
  <si>
    <t>DA13</t>
  </si>
  <si>
    <t>DA14, DA16</t>
  </si>
  <si>
    <t>DA15</t>
  </si>
  <si>
    <t>DD1</t>
  </si>
  <si>
    <t>DD2, DD4</t>
  </si>
  <si>
    <t>DD3</t>
  </si>
  <si>
    <t>DD5, DD6, DD7, DD11</t>
  </si>
  <si>
    <t>DD8</t>
  </si>
  <si>
    <t>DD9</t>
  </si>
  <si>
    <t>DD10</t>
  </si>
  <si>
    <t>DD12</t>
  </si>
  <si>
    <t>DD13</t>
  </si>
  <si>
    <t>FU1, FU3, FU5, FU6, FU7, FU8, FU9, FU10, FU11, FU13, FU14, FU15, FU16, FU18, FU19, FU20, FU21, FU22, FU23, FU24, FU25, FU26, FU27, FU28, FU29, FU30</t>
  </si>
  <si>
    <t>FU2, FU4, FU12, FU17, FU31</t>
  </si>
  <si>
    <t>FU32, FU33, FU34</t>
  </si>
  <si>
    <t>FV1, FV2, FV3, FV4, FV5</t>
  </si>
  <si>
    <t>HL1</t>
  </si>
  <si>
    <t>HL2, HL3, HL4, HL5, HL6, HL7</t>
  </si>
  <si>
    <t>L1, L2, L3, L4, L5</t>
  </si>
  <si>
    <t>L6</t>
  </si>
  <si>
    <t>L7, L8</t>
  </si>
  <si>
    <t>L9</t>
  </si>
  <si>
    <t>L10, L11</t>
  </si>
  <si>
    <t>L12, L16</t>
  </si>
  <si>
    <t>L13</t>
  </si>
  <si>
    <t>L14</t>
  </si>
  <si>
    <t>L15, L17</t>
  </si>
  <si>
    <t>R1, R17, R53, R60, R61, R62, R69, R70, R156, R166</t>
  </si>
  <si>
    <t>R2, R3, R6, R109, R111, R117, R187</t>
  </si>
  <si>
    <t>R4, R5, R7, R8, R10, R11, R15, R16, R20, R21, R22, R23, R24, R25, R26, R27, R28, R29, R30, R31, R32, R33, R35, R36, R37, R38, R39, R40, R41, R42, R43, R44, R45, R46, R47, R48, R49, R50, R56, R57, R67, R68, R81, R83, R85, R86, R87, R88, R89, R90, R91, R92, R93, R98, R99, R100, R102, R105, R108, R113, R115, R116, R118, R119, R120, R129, R131, R137, R138, R139, R155, R157, R174, R180</t>
  </si>
  <si>
    <t>R12, R34, R51, R135, R136, R182, R188</t>
  </si>
  <si>
    <t>R13, R14</t>
  </si>
  <si>
    <t>R18, R19, R73, R74, R77, R78, R96, R97, R106, R110, R125, R126, R127, R128</t>
  </si>
  <si>
    <t>R52, R55, R59, R66</t>
  </si>
  <si>
    <t>R54, R63</t>
  </si>
  <si>
    <t>R58, R71, R72, R75, R76, R79, R80, R82, R84</t>
  </si>
  <si>
    <t>R94, R101</t>
  </si>
  <si>
    <t>R95, R103, R163</t>
  </si>
  <si>
    <t>R104, R107, R112, R114</t>
  </si>
  <si>
    <t>R121, R122, R123, R124</t>
  </si>
  <si>
    <t>R130</t>
  </si>
  <si>
    <t>R132, R133</t>
  </si>
  <si>
    <t>R140</t>
  </si>
  <si>
    <t>R141, R149</t>
  </si>
  <si>
    <t>R142</t>
  </si>
  <si>
    <t>R143</t>
  </si>
  <si>
    <t>R144</t>
  </si>
  <si>
    <t>R145, R186</t>
  </si>
  <si>
    <t>R146</t>
  </si>
  <si>
    <t>R147</t>
  </si>
  <si>
    <t>R148</t>
  </si>
  <si>
    <t>R150, R153</t>
  </si>
  <si>
    <t>R151</t>
  </si>
  <si>
    <t>R152</t>
  </si>
  <si>
    <t>R154, R160</t>
  </si>
  <si>
    <t>R158, R159</t>
  </si>
  <si>
    <t>R161</t>
  </si>
  <si>
    <t>R164</t>
  </si>
  <si>
    <t>R167</t>
  </si>
  <si>
    <t>R168, R171, R176, R179, R185</t>
  </si>
  <si>
    <t>R169</t>
  </si>
  <si>
    <t>R170</t>
  </si>
  <si>
    <t>R172</t>
  </si>
  <si>
    <t>R173</t>
  </si>
  <si>
    <t>R175</t>
  </si>
  <si>
    <t>R177</t>
  </si>
  <si>
    <t>R178</t>
  </si>
  <si>
    <t>R181</t>
  </si>
  <si>
    <t>R183</t>
  </si>
  <si>
    <t>R184</t>
  </si>
  <si>
    <t>TV1</t>
  </si>
  <si>
    <t>U1</t>
  </si>
  <si>
    <t>VD1, VD3, VD4, VD6, VD7, VD8, VD10, VD11, VD12, VD14, VD15, VD17, VD18, VD20, VD21, VD23, VD24, VD26, VD27, VD29, VD30, VD32, VD33, VD35, VD36, VD38, VD39, VD41</t>
  </si>
  <si>
    <t>VD2, VD5, VD9, VD13, VD16, VD19, VD22, VD25, VD28, VD31, VD34, VD37, VD40</t>
  </si>
  <si>
    <t>VD42, VD43, VD44, VD45, VD49</t>
  </si>
  <si>
    <t>VD46, VD48, VD59</t>
  </si>
  <si>
    <t>VD47, VD50</t>
  </si>
  <si>
    <t>VD51, VD54</t>
  </si>
  <si>
    <t>VD52, VD53, VD55, VD56</t>
  </si>
  <si>
    <t>VD57</t>
  </si>
  <si>
    <t>VD58, VD61, VD63, VD65</t>
  </si>
  <si>
    <t>VD60</t>
  </si>
  <si>
    <t>VD62</t>
  </si>
  <si>
    <t>VD64, VD66, VD67</t>
  </si>
  <si>
    <t>VD68, VD69</t>
  </si>
  <si>
    <t>VD70</t>
  </si>
  <si>
    <t>VD71</t>
  </si>
  <si>
    <t>VD72, VD73</t>
  </si>
  <si>
    <t>VD74, VD75, VD76, VD77, VD78, VD79</t>
  </si>
  <si>
    <t>VT1, VT2</t>
  </si>
  <si>
    <t>VT3</t>
  </si>
  <si>
    <t>VU1</t>
  </si>
  <si>
    <t>X1</t>
  </si>
  <si>
    <t>X2, X14, X15</t>
  </si>
  <si>
    <t>X3, X4</t>
  </si>
  <si>
    <t>X5, X6</t>
  </si>
  <si>
    <t>X7, X8, X9, X10, X11, X13, X16</t>
  </si>
  <si>
    <t>X12</t>
  </si>
  <si>
    <t>X17</t>
  </si>
  <si>
    <t>X18</t>
  </si>
  <si>
    <t>XW1</t>
  </si>
  <si>
    <t>ZQ1, ZQ3</t>
  </si>
  <si>
    <t>ZQ2</t>
  </si>
  <si>
    <t>Номинал</t>
  </si>
  <si>
    <t>6.8pF</t>
  </si>
  <si>
    <t>0.1uF</t>
  </si>
  <si>
    <t>1.5F</t>
  </si>
  <si>
    <t>2.2uF</t>
  </si>
  <si>
    <t>4.7pF</t>
  </si>
  <si>
    <t>4.7uF</t>
  </si>
  <si>
    <t>10nF</t>
  </si>
  <si>
    <t>22uF</t>
  </si>
  <si>
    <t>1uF</t>
  </si>
  <si>
    <t>10uF</t>
  </si>
  <si>
    <t>470pF</t>
  </si>
  <si>
    <t>2.2nF</t>
  </si>
  <si>
    <t>0.22uF</t>
  </si>
  <si>
    <t>680pF</t>
  </si>
  <si>
    <t>100pF</t>
  </si>
  <si>
    <t>1nF</t>
  </si>
  <si>
    <t>0.47uF</t>
  </si>
  <si>
    <t>1.5nF</t>
  </si>
  <si>
    <t>10pF</t>
  </si>
  <si>
    <t>8.2nF</t>
  </si>
  <si>
    <t>600 @ 100MHz</t>
  </si>
  <si>
    <t>22uH</t>
  </si>
  <si>
    <t>1uH</t>
  </si>
  <si>
    <t>3.3uH</t>
  </si>
  <si>
    <t>30 @ 100MHz</t>
  </si>
  <si>
    <t>10uH</t>
  </si>
  <si>
    <t>230 Ohms @ 100 MHz</t>
  </si>
  <si>
    <t>15uH</t>
  </si>
  <si>
    <t>2.2uH</t>
  </si>
  <si>
    <t>1k</t>
  </si>
  <si>
    <t>1.5k</t>
  </si>
  <si>
    <t>10k</t>
  </si>
  <si>
    <t>5.1k</t>
  </si>
  <si>
    <t>27k</t>
  </si>
  <si>
    <t>4.3k</t>
  </si>
  <si>
    <t>12.1k</t>
  </si>
  <si>
    <t>39k</t>
  </si>
  <si>
    <t>24.9k</t>
  </si>
  <si>
    <t>4.02k</t>
  </si>
  <si>
    <t>47k</t>
  </si>
  <si>
    <t>237k</t>
  </si>
  <si>
    <t>22.6k</t>
  </si>
  <si>
    <t>60.4k</t>
  </si>
  <si>
    <t>5.23k</t>
  </si>
  <si>
    <t>100k</t>
  </si>
  <si>
    <t>221k</t>
  </si>
  <si>
    <t>8.78k</t>
  </si>
  <si>
    <t>10.2k</t>
  </si>
  <si>
    <t>6.04k</t>
  </si>
  <si>
    <t>9.31k</t>
  </si>
  <si>
    <t>31.6k</t>
  </si>
  <si>
    <t>332k</t>
  </si>
  <si>
    <t>39.2k</t>
  </si>
  <si>
    <t>12.7k</t>
  </si>
  <si>
    <t>68.1k</t>
  </si>
  <si>
    <t>1.96k</t>
  </si>
  <si>
    <t>Напряжение</t>
  </si>
  <si>
    <t>50V</t>
  </si>
  <si>
    <t>5.5V</t>
  </si>
  <si>
    <t>16V</t>
  </si>
  <si>
    <t>25V</t>
  </si>
  <si>
    <t>2kV</t>
  </si>
  <si>
    <t>100V</t>
  </si>
  <si>
    <t>250VAC</t>
  </si>
  <si>
    <t>650V</t>
  </si>
  <si>
    <t>30V</t>
  </si>
  <si>
    <t>40V</t>
  </si>
  <si>
    <t>2V</t>
  </si>
  <si>
    <t>75V</t>
  </si>
  <si>
    <t>150V</t>
  </si>
  <si>
    <t>200V</t>
  </si>
  <si>
    <t>5V</t>
  </si>
  <si>
    <t>12V</t>
  </si>
  <si>
    <t>3V</t>
  </si>
  <si>
    <t>18V</t>
  </si>
  <si>
    <t>4.7V</t>
  </si>
  <si>
    <t>5.25V</t>
  </si>
  <si>
    <t>58V</t>
  </si>
  <si>
    <t>60V</t>
  </si>
  <si>
    <t>6.2V</t>
  </si>
  <si>
    <t>600V</t>
  </si>
  <si>
    <t>36V</t>
  </si>
  <si>
    <t>1.2V</t>
  </si>
  <si>
    <t>250V</t>
  </si>
  <si>
    <t>300V</t>
  </si>
  <si>
    <t>170V</t>
  </si>
  <si>
    <t>Точность</t>
  </si>
  <si>
    <t>±0.25pF</t>
  </si>
  <si>
    <t>-20%, +80%</t>
  </si>
  <si>
    <t>±50ppm</t>
  </si>
  <si>
    <t>±20ppm</t>
  </si>
  <si>
    <t>Температурный диапазон</t>
  </si>
  <si>
    <t>-55°C ~ 125°C</t>
  </si>
  <si>
    <t>-25°C ~ 70°C</t>
  </si>
  <si>
    <t>-55°C ~ 85°C</t>
  </si>
  <si>
    <t>-40°C ~ 85°C</t>
  </si>
  <si>
    <t>-40°C ~ 125°C (TJ)</t>
  </si>
  <si>
    <t>-40°C ~ 150°C (TJ)</t>
  </si>
  <si>
    <t>-40°C ~ 85°C (TA)</t>
  </si>
  <si>
    <t>-40°C ~ 125°C (TA)</t>
  </si>
  <si>
    <t>-40°C ~ 125°C</t>
  </si>
  <si>
    <t>-40°C ~ 80°C</t>
  </si>
  <si>
    <t>-40°C ~ 105°C</t>
  </si>
  <si>
    <t>-55°C ~ 155°C</t>
  </si>
  <si>
    <t>-55°C ~ 150°C (TJ)</t>
  </si>
  <si>
    <t>-65°C ~ 150°C</t>
  </si>
  <si>
    <t>-40°C ~ 175°C</t>
  </si>
  <si>
    <t>-55°C ~ 150°C</t>
  </si>
  <si>
    <t>-65°C ~ 150°C (TJ)</t>
  </si>
  <si>
    <t>-50°C ~ 150°C (TJ)</t>
  </si>
  <si>
    <t>-65°C ~ 150°C (TA)</t>
  </si>
  <si>
    <t>-55°C ~ 110°C</t>
  </si>
  <si>
    <t>0°C ~ 70°C</t>
  </si>
  <si>
    <t>-55°C ~ 165°C</t>
  </si>
  <si>
    <t>Описание</t>
  </si>
  <si>
    <t>6.8 pF ±0.25pF 50V Ceramic Capacitor C0G, NP0 0603 (1608 Metric)</t>
  </si>
  <si>
    <t>0.1 µF ±10% 50V Ceramic Capacitor X7R 0603 (1608 Metric)</t>
  </si>
  <si>
    <t>1.5 F (EDLC) Supercapacitor 5.5 V Axial, Can - Horizontal 30Ohm @ 1kHz 1000 Hrs @ 70°C</t>
  </si>
  <si>
    <t>2.2 µF ±10% 16V Ceramic Capacitor X5R 0603 (1608 Metric)</t>
  </si>
  <si>
    <t>4.7 pF ±0.25pF 50V Ceramic Capacitor C0G, NP0 0603 (1608 Metric)</t>
  </si>
  <si>
    <t>4.7 µF ±10% 16V Ceramic Capacitor X5R 0603 (1608 Metric)</t>
  </si>
  <si>
    <t>10000 pF ±10% 50V Ceramic Capacitor X7R 0603 (1608 Metric)</t>
  </si>
  <si>
    <t>22 µF ±20% 16V Ceramic Capacitor X5R 0805 (2012 Metric)</t>
  </si>
  <si>
    <t>1 µF ±10% 16V Ceramic Capacitor X7R 0603 (1608 Metric)</t>
  </si>
  <si>
    <t>10 µF ±10% 25V Ceramic Capacitor X5R 0805 (2012 Metric)</t>
  </si>
  <si>
    <t>470 pF ±5% 50V Ceramic Capacitor C0G, NP0 0603 (1608 Metric)</t>
  </si>
  <si>
    <t>2200 pF ±10% 2000V (2kV) Ceramic Capacitor X7R 1812 (4532 Metric)</t>
  </si>
  <si>
    <t>0.22 µF ±10% 100V Ceramic Capacitor X7R 0805 (2012 Metric)</t>
  </si>
  <si>
    <t>10 µF ±10% 100V Ceramic Capacitor X7S 1210 (3225 Metric)</t>
  </si>
  <si>
    <t>2.2 µF ±10% 100V Ceramic Capacitor X7R 1210 (3225 Metric)</t>
  </si>
  <si>
    <t>0.1 µF ±10% 100V Ceramic Capacitor X7R 0805 (2012 Metric)</t>
  </si>
  <si>
    <t>680 pF ±10% 100V Ceramic Capacitor X7R 0805 (2012 Metric)</t>
  </si>
  <si>
    <t>10 µF ±10% 50V Ceramic Capacitor X7R 1206 (3216 Metric)</t>
  </si>
  <si>
    <t>1 µF ±10% 25V Ceramic Capacitor X7R 0805 (2012 Metric)</t>
  </si>
  <si>
    <t>100 pF ±5% 50V Ceramic Capacitor C0G, NP0 0603 (1608 Metric)</t>
  </si>
  <si>
    <t>2200 pF ±10% 50V Ceramic Capacitor X7R 0603 (1608 Metric)</t>
  </si>
  <si>
    <t>1000 pF ±10% 100V Ceramic Capacitor X7R 0603 (1608 Metric)</t>
  </si>
  <si>
    <t>0.47 µF ±10% 25V Ceramic Capacitor X7R 0603 (1608 Metric)</t>
  </si>
  <si>
    <t>1500 pF ±10% 50V Ceramic Capacitor X7R 0603 (1608 Metric)</t>
  </si>
  <si>
    <t>10 pF ±0.25pF 50V Ceramic Capacitor C0G, NP0 0603 (1608 Metric)</t>
  </si>
  <si>
    <t>8200 pF ±10% 50V Ceramic Capacitor X7R 0603 (1608 Metric)</t>
  </si>
  <si>
    <t>1000 pF ±10% 250VAC Ceramic Capacitor X7R 1808 (4520 Metric)</t>
  </si>
  <si>
    <t>1/1 Transceiver Half RS422, RS485 8-SOIC</t>
  </si>
  <si>
    <t>1/1 Transceiver Full RS422, RS485 8-SOIC</t>
  </si>
  <si>
    <t>RS422, RS485 Digital Isolator 5000Vrms 3 Channel 500kbps 25kV/µs CMTI 16-SOIC (0.295", 7.50mm Width)</t>
  </si>
  <si>
    <t>Power Over Ethernet Controller 1 Channel 802.3at (PoE) 24-VSON (6x4)</t>
  </si>
  <si>
    <t>Electronic Fuse Regulator 2.35A 24-VQFN (5x4)</t>
  </si>
  <si>
    <t>Buck Switching Regulator IC Positive Adjustable 0.8V 1 Output 3.5A 8-PowerSOIC (0.154", 3.90mm Width)</t>
  </si>
  <si>
    <t>Buck Switching Regulator IC Positive Adjustable 0.8V 2 Output 2A 16-WQFN Exposed Pad</t>
  </si>
  <si>
    <t>ARM® Cortex®-M7 STM32H7 Microcontroller IC 32-Bit Single-Core 480MHz 2MB (2M x 8) FLASH 144-LQFP (20x20)</t>
  </si>
  <si>
    <t>Multiphase Motor Driver Power MOSFET SPI, Step/Direction 76-QFN (10.5x6.5)</t>
  </si>
  <si>
    <t>25 MHz XO (Standard) CMOS Oscillator 3.3V Enable/Disable 4-SMD, No Lead</t>
  </si>
  <si>
    <t>Buffer, Non-Inverting 2 Element 1 Bit per Element Push-Pull Output 6-TSSOP</t>
  </si>
  <si>
    <t>Transceiver, Non-Inverting 1 Element 8 Bit per Element 3-State Output 20-TSSOP</t>
  </si>
  <si>
    <t>General Purpose Digital Isolator 1000Vrms 6 Channel 150Mbps 35kV/µs CMTI 16-SOIC (0.154", 3.90mm Width)</t>
  </si>
  <si>
    <t>1/1 Transceiver Full Ethernet 24-SQFN (4x4)</t>
  </si>
  <si>
    <t>Accelerometer X, Y, Z Axis ±2g, 4g, 8g, 16g 0.5Hz ~ 625Hz 16-LGA (3x3)</t>
  </si>
  <si>
    <t>SURGE SUPP TBU 200MA 650VIMP SMD</t>
  </si>
  <si>
    <t>Polymeric PTC Resettable Fuse 30V 300 mA Ih Surface Mount 1812 (4532 Metric), Concave</t>
  </si>
  <si>
    <t>Polymeric PTC Resettable Fuse 40V 500 mA Ih Surface Mount 1812 (4532 Metric), Concave</t>
  </si>
  <si>
    <t>Gas Discharge Tube 75 V 10000A (10kA) ±25% 3 Pole Through Hole Mount</t>
  </si>
  <si>
    <t>Green 567nm LED Indication - Discrete 2V 0603 (1608 Metric)</t>
  </si>
  <si>
    <t>600 Ohms @ 100 MHz 1 Ferrite Bead 0603 (1608 Metric) 500mA 380mOhm</t>
  </si>
  <si>
    <t>22 µH Unshielded Drum Core, Wirewound Inductor 300 mA 1.001Ohm Max 1210 (3225 Metric)</t>
  </si>
  <si>
    <t>1 µH Unshielded Drum Core, Wirewound Inductor 1 A 78mOhm Max 1210 (3225 Metric)</t>
  </si>
  <si>
    <t>3.3 µH Semi-Shielded Drum Core, Wirewound Inductor 1.6 A 112mOhm Max Nonstandard</t>
  </si>
  <si>
    <t>30 Ohms @ 100 MHz 1 Power Line Ferrite Bead 0603 (1608 Metric) 1A 50mOhm</t>
  </si>
  <si>
    <t>15 µH Semi-Shielded Drum Core, Wirewound Inductor 2.4 A 70mOhm Max Nonstandard</t>
  </si>
  <si>
    <t>2 Line Common Mode Choke Surface Mount 230 Ohms @ 100 MHz 3A DCR 50mOhm</t>
  </si>
  <si>
    <t>2.2 µH Shielded Drum Core, Wirewound Inductor 3.15 A 106mOhm Max Nonstandard</t>
  </si>
  <si>
    <t>1 kOhms ±1% 0.1W, 1/10W Chip Resistor 0603 (1608 Metric) Moisture Resistant Thick Film</t>
  </si>
  <si>
    <t>1.5 kOhms ±1% 0.1W, 1/10W Chip Resistor 0603 (1608 Metric) Moisture Resistant Thick Film</t>
  </si>
  <si>
    <t>10 kOhms ±1% 0.1W, 1/10W Chip Resistor 0603 (1608 Metric) Moisture Resistant Thick Film</t>
  </si>
  <si>
    <t>0 Ohms Jumper Chip Resistor 0603 (1608 Metric) Moisture Resistant Thick Film</t>
  </si>
  <si>
    <t>5.1 kOhms ±1% 0.1W, 1/10W Chip Resistor 0603 (1608 Metric) Moisture Resistant Thick Film</t>
  </si>
  <si>
    <t>33 Ohms ±1% 0.1W, 1/10W Chip Resistor 0603 (1608 Metric) Moisture Resistant Thick Film</t>
  </si>
  <si>
    <t>549 Ohms ±1% 0.125W, 1/8W Chip Resistor 0805 (2012 Metric) Moisture Resistant Thick Film</t>
  </si>
  <si>
    <t>133 Ohms ±1% 0.125W, 1/8W Chip Resistor 0805 (2012 Metric) Moisture Resistant Thick Film</t>
  </si>
  <si>
    <t>120 Ohms ±1% 0.125W, 1/8W Chip Resistor 0805 (2012 Metric) Moisture Resistant Thick Film</t>
  </si>
  <si>
    <t>1 kOhms ±5% 0.1W, 1/10W Chip Resistor 0603 (1608 Metric) Moisture Resistant Thick Film</t>
  </si>
  <si>
    <t>27 kOhms Jumper Chip Resistor 0603 (1608 Metric) Moisture Resistant Thick Film</t>
  </si>
  <si>
    <t>4.3 kOhms ±1% 0.1W, 1/10W Chip Resistor 0603 (1608 Metric) Moisture Resistant Thick Film</t>
  </si>
  <si>
    <t>49.9 Ohms ±1% 0.1W, 1/10W Chip Resistor 0603 (1608 Metric) Moisture Resistant Thick Film</t>
  </si>
  <si>
    <t>12.1 kOhms ±1% 0.1W, 1/10W Chip Resistor 0603 (1608 Metric) Moisture Resistant Thick Film</t>
  </si>
  <si>
    <t>270 Ohms ±1% 0.1W, 1/10W Chip Resistor 0603 (1608 Metric) Moisture Resistant Thick Film</t>
  </si>
  <si>
    <t>39 kOhms ±5% 0.125W, 1/8W Chip Resistor 0805 (2012 Metric) Moisture Resistant Thick Film</t>
  </si>
  <si>
    <t>24.9 kOhms ±1% 0.1W, 1/10W Chip Resistor 0603 (1608 Metric) Moisture Resistant Thick Film</t>
  </si>
  <si>
    <t>45.3 Ohms ±1% 0.1W, 1/10W Chip Resistor 0603 (1608 Metric) Moisture Resistant Thick Film</t>
  </si>
  <si>
    <t>10 Ohms ±1% 0.125W, 1/8W Chip Resistor 0805 (2012 Metric) Moisture Resistant Thick Film</t>
  </si>
  <si>
    <t>24 Ohms ±5% 0.1W, 1/10W Chip Resistor 0603 (1608 Metric) Moisture Resistant Thick Film</t>
  </si>
  <si>
    <t>4.02 kOhms ±1% 0.1W, 1/10W Chip Resistor 0603 (1608 Metric) Moisture Resistant Thick Film</t>
  </si>
  <si>
    <t>47 kOhms ±1% 0.1W, 1/10W Chip Resistor 0603 (1608 Metric) Moisture Resistant Thick Film</t>
  </si>
  <si>
    <t>237 kOhms ±1% 0.1W, 1/10W Chip Resistor 0603 (1608 Metric) Moisture Resistant Thick Film</t>
  </si>
  <si>
    <t>22.6 kOhms ±1% 0.1W, 1/10W Chip Resistor 0603 (1608 Metric) Moisture Resistant Thick Film</t>
  </si>
  <si>
    <t>10 Ohms ±1% 0.1W, 1/10W Chip Resistor 0603 (1608 Metric) Moisture Resistant Thick Film</t>
  </si>
  <si>
    <t>60.4 kOhms ±1% 0.1W, 1/10W Chip Resistor 0603 (1608 Metric) Moisture Resistant Thick Film</t>
  </si>
  <si>
    <t>200 Ohms ±5% 1W Chip Resistor 2512 (6432 Metric) Thick Film</t>
  </si>
  <si>
    <t>5.23 kOhms ±1% 0.1W, 1/10W Chip Resistor 0603 (1608 Metric) Moisture Resistant Thick Film</t>
  </si>
  <si>
    <t>910 mOhms ±1% 0.25W, 1/4W Chip Resistor 1206 (3216 Metric) Automotive AEC-Q200, Current Sense, Moisture Resistant Thick Film</t>
  </si>
  <si>
    <t>100 kOhms ±1% 0.1W, 1/10W Chip Resistor 0603 (1608 Metric) Moisture Resistant Thick Film</t>
  </si>
  <si>
    <t>221 kOhms ±1% 0.1W, 1/10W Chip Resistor 0603 (1608 Metric) Moisture Resistant Thick Film</t>
  </si>
  <si>
    <t>8.87 kOhms ±1% 0.1W, 1/10W Chip Resistor 0603 (1608 Metric) Moisture Resistant Thick Film</t>
  </si>
  <si>
    <t>10.2 kOhms ±1% 0.1W, 1/10W Chip Resistor 0603 (1608 Metric) Moisture Resistant Thick Film</t>
  </si>
  <si>
    <t>6.04 kOhms ±1% 0.1W, 1/10W Chip Resistor 0603 (1608 Metric) Moisture Resistant Thick Film</t>
  </si>
  <si>
    <t>9.31 kOhms ±1% 0.1W, 1/10W Chip Resistor 0603 (1608 Metric) Moisture Resistant Thick Film</t>
  </si>
  <si>
    <t>4.99 Ohms ±1% 0.1W, 1/10W Chip Resistor 0603 (1608 Metric) Moisture Resistant Thick Film</t>
  </si>
  <si>
    <t>31.6 kOhms ±1% 0.1W, 1/10W Chip Resistor 0603 (1608 Metric) Moisture Resistant Thick Film</t>
  </si>
  <si>
    <t>732 Ohms ±1% 0.1W, 1/10W Chip Resistor 0603 (1608 Metric) Moisture Resistant Thick Film</t>
  </si>
  <si>
    <t>332 kOhms ±1% 0.1W, 1/10W Chip Resistor 0603 (1608 Metric) Moisture Resistant Thick Film</t>
  </si>
  <si>
    <t>39.2 kOhms ±1% 0.1W, 1/10W Chip Resistor 0603 (1608 Metric) Moisture Resistant Thick Film</t>
  </si>
  <si>
    <t>12.7 kOhms ±1% 0.1W, 1/10W Chip Resistor 0603 (1608 Metric) Moisture Resistant Thick Film</t>
  </si>
  <si>
    <t>68.1 kOhms ±1% 0.1W, 1/10W Chip Resistor 0603 (1608 Metric) Moisture Resistant Thick Film</t>
  </si>
  <si>
    <t>1.96 kOhms ±1% 0.1W, 1/10W Chip Resistor 0603 (1608 Metric) Moisture Resistant Thick Film</t>
  </si>
  <si>
    <t>Power Over Ethernet (PoE) For For DC/DC Converters SMPS Transformer 1500Vrms Isolation Surface Mount</t>
  </si>
  <si>
    <t>Navigation Galileo, GLONASS, GPS, GNSS, Module 1.166GHz ~ 1.186GHz, 1.559GHz ~ 1.563GHz, 1.595GHz ~ 1.607GHz, 1.574GHz ~ 1.576GHz Antenna Not Included Surface Mount</t>
  </si>
  <si>
    <t>9.2V Clamp 68A Ipp Tvs Diode Surface Mount SMB (DO-214AA)</t>
  </si>
  <si>
    <t>19.9V Clamp 31A Ipp Tvs Diode Surface Mount SMB (DO-214AA)</t>
  </si>
  <si>
    <t>Clamp Ipp Tvs Diode Surface Mount SOT-23-6</t>
  </si>
  <si>
    <t>Diode 200 V 1A Surface Mount PowerDI™ 123</t>
  </si>
  <si>
    <t>29.2V Clamp 21.5A Ipp Tvs Diode Surface Mount SMB (DO-214AA)</t>
  </si>
  <si>
    <t>Diode 100 V 1A Surface Mount SOD-123W</t>
  </si>
  <si>
    <t>Zener Diode 4.7 V 500 mW ±6% Surface Mount SOD-123</t>
  </si>
  <si>
    <t>17V Clamp 5A (8/20µs) Ipp Tvs Diode Surface Mount SOT-23-6</t>
  </si>
  <si>
    <t>Diode 100 V 200mA Surface Mount SOD-123</t>
  </si>
  <si>
    <t>93.6V Clamp 4.3A Ipp Tvs Diode Surface Mount DO-214AC (SMA)</t>
  </si>
  <si>
    <t>Diode 60 V 2A Surface Mount SMB</t>
  </si>
  <si>
    <t>Zener Diode 6.2 V 500 mW ±5% Surface Mount SOD-123</t>
  </si>
  <si>
    <t>Bridge Rectifier Single Phase Standard 600 V Surface Mount TO-269AA MINIDIL SLIM</t>
  </si>
  <si>
    <t>Diode 50 V 5A Surface Mount SMC</t>
  </si>
  <si>
    <t>58.1V Clamp 10.4A Ipp Tvs Diode Surface Mount SMB (DO-214AA)</t>
  </si>
  <si>
    <t>Diode 40 V 3A Surface Mount SMA</t>
  </si>
  <si>
    <t>20V Clamp 18A (8/20µs) Ipp Tvs Diode Surface Mount SOD-523</t>
  </si>
  <si>
    <t>N-Channel 30 V 2.7A (Ta) 1.3W (Ta) Surface Mount Micro3™/SOT-23</t>
  </si>
  <si>
    <t>N-Channel 50 V 200mA (Ta) 300mW (Ta) Surface Mount SOT-23-3</t>
  </si>
  <si>
    <t>Optoisolator Transistor Output 3750Vrms 1 Channel 4-SOP</t>
  </si>
  <si>
    <t>Connector Header Through Hole 30 position 0.100" (2.54mm)</t>
  </si>
  <si>
    <t>Connector Header Through Hole 2 position 0.100" (2.54mm)</t>
  </si>
  <si>
    <t>8 Position Wire to Board Terminal Block Vertical with Board 0.100" (2.54mm) Through Hole</t>
  </si>
  <si>
    <t>6 Position Wire to Board Terminal Block Vertical with Board 0.100" (2.54mm) Through Hole</t>
  </si>
  <si>
    <t>12 Position Wire to Board Terminal Block Vertical with Board 0.100" (2.54mm) Through Hole</t>
  </si>
  <si>
    <t>1 Port RJ45Through Hole 10/100 Base-T, AutoMDIX, Power over Ethernet (PoE)</t>
  </si>
  <si>
    <t>2 Position Wire to Board Terminal Block Vertical with Board 0.200" (5.08mm) Through Hole</t>
  </si>
  <si>
    <t>MMCX Connector Jack, Female Socket 50 Ohms Through Hole Solder</t>
  </si>
  <si>
    <t>25 MHz ±20ppm Crystal 8pF 50 Ohms 4-SMD, No Lead</t>
  </si>
  <si>
    <t>32.768 kHz ±20ppm Crystal 7pF 70 kOhms 2-SMD, No Lead</t>
  </si>
  <si>
    <t>Корпус</t>
  </si>
  <si>
    <t>0603 (1608 Metric)</t>
  </si>
  <si>
    <t>19.00mm dia x 6.5mm</t>
  </si>
  <si>
    <t>0805 (2012 Metric)</t>
  </si>
  <si>
    <t>1812 (4532 Metric)</t>
  </si>
  <si>
    <t>1210 (3225 Metric)</t>
  </si>
  <si>
    <t>1206 (3216 Metric)</t>
  </si>
  <si>
    <t>1808 (4520 Metric)</t>
  </si>
  <si>
    <t>8-SOIC (0.154", 3.90mm Width)</t>
  </si>
  <si>
    <t>16-SOIC (0.295", 7.50mm Width)</t>
  </si>
  <si>
    <t>24-VFDFN Exposed Pad, 23 Leads</t>
  </si>
  <si>
    <t>24-VFQFN Exposed Pad</t>
  </si>
  <si>
    <t>8-PowerSOIC (0.154", 3.90mm Width)</t>
  </si>
  <si>
    <t>16-WQFN (4x4)</t>
  </si>
  <si>
    <t>144-LQFP (20x20)</t>
  </si>
  <si>
    <t>76-VFQFN Exposed Pad</t>
  </si>
  <si>
    <t>3.20mm x 2.50mm</t>
  </si>
  <si>
    <t>6-TSSOP</t>
  </si>
  <si>
    <t>20-TSSOP (0.173", 4.40mm Width)</t>
  </si>
  <si>
    <t>16-SOIC (0.154", 3.90mm Width)</t>
  </si>
  <si>
    <t>16-LGA (3x3)</t>
  </si>
  <si>
    <t>6.50mm x 4.00mm</t>
  </si>
  <si>
    <t>1812 (4532 Metric), Concave</t>
  </si>
  <si>
    <t>11.5mm x 7.5mm dia.</t>
  </si>
  <si>
    <t>3.00mm x 3.00mm</t>
  </si>
  <si>
    <t>8.00mm x 8.00mm</t>
  </si>
  <si>
    <t>4.70mm x 4.50mm</t>
  </si>
  <si>
    <t>2512 (6432 Metric)</t>
  </si>
  <si>
    <t>13.46mm x 15.00mm</t>
  </si>
  <si>
    <t>DO-214AA, SMB</t>
  </si>
  <si>
    <t>SOT-23-6</t>
  </si>
  <si>
    <t>PowerDI™ 123</t>
  </si>
  <si>
    <t>SOD-123W</t>
  </si>
  <si>
    <t>SOD-123</t>
  </si>
  <si>
    <t>DO-214AC, SMA</t>
  </si>
  <si>
    <t>TO-269AA, 4-BESOP</t>
  </si>
  <si>
    <t>DO-214AB, SMC</t>
  </si>
  <si>
    <t>SC-79, SOD-523</t>
  </si>
  <si>
    <t>SOT-23-3</t>
  </si>
  <si>
    <t>4-SOIC (0.173", 4.40mm Width)</t>
  </si>
  <si>
    <t>3.20mm x 1.50mm</t>
  </si>
  <si>
    <t>Артикул</t>
  </si>
  <si>
    <t>CC0603CRNPO9BN6R8</t>
  </si>
  <si>
    <t>CL10B104KB8NNNC</t>
  </si>
  <si>
    <t>KR-5R5H155-R</t>
  </si>
  <si>
    <t>CL10A225KO8NNNC</t>
  </si>
  <si>
    <t>CC0603CRNPO9BN4R7</t>
  </si>
  <si>
    <t>CL10A475KO8NNNC</t>
  </si>
  <si>
    <t>CL10B103KB8NNNC</t>
  </si>
  <si>
    <t>CL21A226MOCLRNC</t>
  </si>
  <si>
    <t>CL10B105KO8NNNC</t>
  </si>
  <si>
    <t>CL21A106KAYNNNE</t>
  </si>
  <si>
    <t>CL10C471JB8NNNC</t>
  </si>
  <si>
    <t>GR443QR73D222KW01L</t>
  </si>
  <si>
    <t>CC0805KKX7R0BB224</t>
  </si>
  <si>
    <t>GRM32EC72A106KE05L</t>
  </si>
  <si>
    <t>CL32B225KCJSNNE</t>
  </si>
  <si>
    <t>CL21B104KCFNNNE</t>
  </si>
  <si>
    <t>CC0805KRX7R0BB681</t>
  </si>
  <si>
    <t>CL31B106KBHNNNE</t>
  </si>
  <si>
    <t>CL21B105KAFNNNE</t>
  </si>
  <si>
    <t>CL10C101JB8NNNC</t>
  </si>
  <si>
    <t>CL10B222KB8NNNC</t>
  </si>
  <si>
    <t>CL10B102KC8NNNC</t>
  </si>
  <si>
    <t>CL10B474KA8NNNC</t>
  </si>
  <si>
    <t>CL10B152KB8WPNC</t>
  </si>
  <si>
    <t>CL10C100CB8NNNC</t>
  </si>
  <si>
    <t>CC0603KRX7R9BB822</t>
  </si>
  <si>
    <t>GA342DR7GF102KW02L</t>
  </si>
  <si>
    <t>ADM4852ARZ</t>
  </si>
  <si>
    <t>ADM4857ARZ</t>
  </si>
  <si>
    <t>ADM2687EBRIZ</t>
  </si>
  <si>
    <t>TPS23755RJJR</t>
  </si>
  <si>
    <t>TPS26600RHFR</t>
  </si>
  <si>
    <t>TPS54332DDAR</t>
  </si>
  <si>
    <t>LM26420XSQ/NOPB</t>
  </si>
  <si>
    <t>STM32H743ZIT6</t>
  </si>
  <si>
    <t>TMC4671-LA</t>
  </si>
  <si>
    <t>ASE-25.000MHZ-L-C-T</t>
  </si>
  <si>
    <t>74LVC2G17GW,125</t>
  </si>
  <si>
    <t>SN74HCT245PWR</t>
  </si>
  <si>
    <t>SN74LVC245APWR</t>
  </si>
  <si>
    <t>SI8660BA-B-IS1R</t>
  </si>
  <si>
    <t>LAN8742AI-CZ</t>
  </si>
  <si>
    <t>LIS3DHTR</t>
  </si>
  <si>
    <t>TBU-CA065-200-WH</t>
  </si>
  <si>
    <t>MF-MSMF030-2</t>
  </si>
  <si>
    <t>MF-MSMF050/40X-2</t>
  </si>
  <si>
    <t>F3R75-01J 75V</t>
  </si>
  <si>
    <t>GNL-0603SRC</t>
  </si>
  <si>
    <t>GNL-0603GC</t>
  </si>
  <si>
    <t>BLM18AG601SN1D</t>
  </si>
  <si>
    <t>NLCV32T-220K-EF</t>
  </si>
  <si>
    <t>NLCV32T-1R0M-EF</t>
  </si>
  <si>
    <t>SRN3015-3R3M</t>
  </si>
  <si>
    <t>BLM18PG300SN1D</t>
  </si>
  <si>
    <t>SRN8040-100M</t>
  </si>
  <si>
    <t>ACM4520-231-2P-T000</t>
  </si>
  <si>
    <t>SRN8040-150M</t>
  </si>
  <si>
    <t>VLS3012HBX-2R2M</t>
  </si>
  <si>
    <t>RC0603FR-071KL</t>
  </si>
  <si>
    <t>RC0603FR-071K5L</t>
  </si>
  <si>
    <t>RC0603FR-0710KL</t>
  </si>
  <si>
    <t>RC0603FR-070RL</t>
  </si>
  <si>
    <t>RC0603FR-075K1L</t>
  </si>
  <si>
    <t>RC0603FR-0733RL</t>
  </si>
  <si>
    <t>RC0805FR-07549RL</t>
  </si>
  <si>
    <t>RC0805FR-07133RL</t>
  </si>
  <si>
    <t>RC0805FR-07120RL</t>
  </si>
  <si>
    <t>RC0603JR-071KL</t>
  </si>
  <si>
    <t>RC0603FR-0727KL</t>
  </si>
  <si>
    <t>RC1206FR-074K3L</t>
  </si>
  <si>
    <t>RC0603FR-0749R9L</t>
  </si>
  <si>
    <t>RC0603FR-0712K1L</t>
  </si>
  <si>
    <t>RC0603FR-07270RL</t>
  </si>
  <si>
    <t>RC0805JR-0739KL</t>
  </si>
  <si>
    <t>RC0603FR-0724K9L</t>
  </si>
  <si>
    <t>RC0603FR-0745R3L</t>
  </si>
  <si>
    <t>RC0805FR-0710RL</t>
  </si>
  <si>
    <t>RC1206JR-0724RL</t>
  </si>
  <si>
    <t>RC0603FR-074K02L</t>
  </si>
  <si>
    <t>RC0603FR-0747KL</t>
  </si>
  <si>
    <t>RC0603FR-07237KL</t>
  </si>
  <si>
    <t>RC0603FR-0722K6L</t>
  </si>
  <si>
    <t>RC0603FR-0710RL</t>
  </si>
  <si>
    <t>RC0603FR-0760K4L</t>
  </si>
  <si>
    <t>CR2512-JW-201ELF</t>
  </si>
  <si>
    <t>RC0603FR-075K23L</t>
  </si>
  <si>
    <t>RL1206FR-070R91L</t>
  </si>
  <si>
    <t>RC0603FR-07100KL</t>
  </si>
  <si>
    <t>RC0603FR-07221KL</t>
  </si>
  <si>
    <t>RC0603FR-078K87L</t>
  </si>
  <si>
    <t>RC0603FR-0710K2L</t>
  </si>
  <si>
    <t>RC0603FR-076K04L</t>
  </si>
  <si>
    <t>RC0603FR-079K31L</t>
  </si>
  <si>
    <t>RC0603FR-074R99L</t>
  </si>
  <si>
    <t>RC0603FR-0731K6L</t>
  </si>
  <si>
    <t>RC0603FR-07732RL</t>
  </si>
  <si>
    <t>RC0603FR-07332KL</t>
  </si>
  <si>
    <t>RC0603FR-0739K2L</t>
  </si>
  <si>
    <t>RC0603FR-0712K7L</t>
  </si>
  <si>
    <t>RC0603FR-0768K1L</t>
  </si>
  <si>
    <t>RC0603FR-071K96L</t>
  </si>
  <si>
    <t>SIM68V</t>
  </si>
  <si>
    <t>SMBJ5.0CA-TR</t>
  </si>
  <si>
    <t>SMBJ12CA-TR</t>
  </si>
  <si>
    <t>ESDA5V3SC6</t>
  </si>
  <si>
    <t>DFLU1200-7</t>
  </si>
  <si>
    <t>SMBJ18CA-TR</t>
  </si>
  <si>
    <t>PMEG10010ELRX</t>
  </si>
  <si>
    <t>BZT52C4V7-7-F</t>
  </si>
  <si>
    <t>USBLC6-4SC6</t>
  </si>
  <si>
    <t>MMSD4148T1G</t>
  </si>
  <si>
    <t>SMAJ58A</t>
  </si>
  <si>
    <t>B260-13-F</t>
  </si>
  <si>
    <t>MMSZ5234B-7-F</t>
  </si>
  <si>
    <t>MB6S</t>
  </si>
  <si>
    <t>B550C-13-F</t>
  </si>
  <si>
    <t>SMBJ36CA</t>
  </si>
  <si>
    <t>B340A-13-F</t>
  </si>
  <si>
    <t>PESD3V3S1UB,115</t>
  </si>
  <si>
    <t>IRLML2030TRPBF</t>
  </si>
  <si>
    <t>BSS138-7-F</t>
  </si>
  <si>
    <t>FODM217AR2</t>
  </si>
  <si>
    <t>DS1013-20S</t>
  </si>
  <si>
    <t>DS1021-1X2SF11-B</t>
  </si>
  <si>
    <t>DS1013-30S</t>
  </si>
  <si>
    <t>DG141V-2.54-08P-14-00A(H)</t>
  </si>
  <si>
    <t>DG141V-2.54-06P-14-00A(H)</t>
  </si>
  <si>
    <t>DG141V-2.54-12P-14-00A(H)</t>
  </si>
  <si>
    <t>7499211123A</t>
  </si>
  <si>
    <t>DG142V-5.08-02P-14-00A(H)</t>
  </si>
  <si>
    <t>NX3225GA-25.000M</t>
  </si>
  <si>
    <t>NX3215SA-32.768K</t>
  </si>
  <si>
    <t>Производитель</t>
  </si>
  <si>
    <t>YAGEO</t>
  </si>
  <si>
    <t>Samsung Electro-Mechanics</t>
  </si>
  <si>
    <t>Eaton - Electronics Division</t>
  </si>
  <si>
    <t>Murata Electronics</t>
  </si>
  <si>
    <t>"D:\Altium\Libraries\GOST_LIBS\Libraries\IC\Analog Devices\ADM4852A.SchLib"</t>
  </si>
  <si>
    <t>Analog Devices Inc.</t>
  </si>
  <si>
    <t>Texas Instruments</t>
  </si>
  <si>
    <t>STMicroelectronics</t>
  </si>
  <si>
    <t>Abracon LLC</t>
  </si>
  <si>
    <t>Nexperia USA Inc.</t>
  </si>
  <si>
    <t>Skyworks Solutions Inc.</t>
  </si>
  <si>
    <t>Microchip Technology</t>
  </si>
  <si>
    <t>Bourns Inc.</t>
  </si>
  <si>
    <t>ZF</t>
  </si>
  <si>
    <t>G-nor Electronics</t>
  </si>
  <si>
    <t>TDK Corporation</t>
  </si>
  <si>
    <t>Würth Elektronik</t>
  </si>
  <si>
    <t>SIMCom Wireless Solutions Limited</t>
  </si>
  <si>
    <t>Diodes Incorporated</t>
  </si>
  <si>
    <t>onsemi</t>
  </si>
  <si>
    <t>Littelfuse Inc.</t>
  </si>
  <si>
    <t>Diotec Semiconductor</t>
  </si>
  <si>
    <t>Infineon Technologies</t>
  </si>
  <si>
    <t>Connfly electronic (Zhenqin)</t>
  </si>
  <si>
    <t>Degson Electronics</t>
  </si>
  <si>
    <t>Molex</t>
  </si>
  <si>
    <t>NDK America, Inc.</t>
  </si>
  <si>
    <t>Quantity</t>
  </si>
  <si>
    <t>F:\Altium_backup\Projects\Saturn\SDC_V2.1\SDC_V2.1.PrjPcb</t>
  </si>
  <si>
    <t>SDC_V2.1.PrjPcb</t>
  </si>
  <si>
    <t>None</t>
  </si>
  <si>
    <t>564</t>
  </si>
  <si>
    <t>02.02.2024 1:39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</si>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</sst>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</font>
    <font>
      <sz val="10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0" xfId="0" applyAlignment="1">
      <alignment vertical="top"/>
    </xf>
    <xf numFmtId="0" fontId="2" fillId="0" borderId="1" xfId="0" applyFont="1" applyBorder="1" applyAlignment="1"/>
    <xf numFmtId="0" fontId="0" fillId="0" borderId="3" xfId="0" applyBorder="1" applyAlignment="1"/>
    <xf numFmtId="0" fontId="4" fillId="0" borderId="1" xfId="0" applyFont="1" applyBorder="1" applyAlignment="1"/>
    <xf numFmtId="0" fontId="4" fillId="0" borderId="0" xfId="0" applyFont="1" applyBorder="1" applyAlignment="1"/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0" xfId="0" applyNumberFormat="1" applyFont="1" applyFill="1" applyBorder="1" applyAlignment="1" applyProtection="1">
      <protection locked="0"/>
    </xf>
    <xf numFmtId="0" fontId="2" fillId="0" borderId="13" xfId="0" applyFont="1" applyBorder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0" fontId="0" fillId="0" borderId="3" xfId="0" applyBorder="1"/>
    <xf numFmtId="0" fontId="0" fillId="0" borderId="0" xfId="0" applyBorder="1"/>
    <xf numFmtId="0" fontId="0" fillId="0" borderId="12" xfId="0" applyBorder="1"/>
    <xf numFmtId="14" fontId="0" fillId="0" borderId="1" xfId="0" applyNumberFormat="1" applyBorder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3" fillId="4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4" borderId="14" xfId="0" applyFill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top"/>
    </xf>
    <xf numFmtId="0" fontId="0" fillId="0" borderId="0" xfId="0" quotePrefix="1"/>
    <xf numFmtId="0" fontId="0" fillId="0" borderId="2" xfId="0" quotePrefix="1" applyBorder="1" applyAlignment="1">
      <alignment horizontal="left"/>
    </xf>
    <xf numFmtId="9" fontId="0" fillId="4" borderId="14" xfId="0" applyNumberFormat="1" applyFill="1" applyBorder="1" applyAlignment="1">
      <alignment horizontal="left" vertical="center"/>
    </xf>
    <xf numFmtId="9" fontId="5" fillId="0" borderId="14" xfId="0" applyNumberFormat="1" applyFont="1" applyBorder="1" applyAlignment="1">
      <alignment horizontal="left" vertical="center"/>
    </xf>
    <xf numFmtId="0" fontId="0" fillId="3" borderId="6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3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5"/>
  <sheetViews>
    <sheetView showGridLines="0" tabSelected="1" zoomScaleNormal="100" workbookViewId="0">
      <selection activeCell="I19" sqref="I19"/>
    </sheetView>
  </sheetViews>
  <sheetFormatPr defaultRowHeight="12.75" x14ac:dyDescent="0.2"/>
  <cols>
    <col min="1" max="1" width="13.5703125" style="4" customWidth="1"/>
    <col min="2" max="2" width="18.5703125" style="12" customWidth="1"/>
    <col min="3" max="4" width="10.140625" style="12" customWidth="1"/>
    <col min="5" max="5" width="10.5703125" style="12" customWidth="1"/>
    <col min="6" max="6" width="35.85546875" style="4" customWidth="1"/>
    <col min="7" max="7" width="18.140625" style="4" customWidth="1"/>
    <col min="8" max="9" width="27.7109375" style="4" customWidth="1"/>
    <col min="10" max="16384" width="9.140625" style="4"/>
  </cols>
  <sheetData>
    <row r="1" spans="1:11" x14ac:dyDescent="0.2">
      <c r="A1"/>
      <c r="B1"/>
      <c r="C1"/>
      <c r="D1"/>
      <c r="E1"/>
      <c r="F1"/>
      <c r="G1"/>
      <c r="H1" s="29"/>
      <c r="I1" s="29"/>
      <c r="J1" s="6"/>
      <c r="K1"/>
    </row>
    <row r="2" spans="1:11" ht="37.5" customHeight="1" x14ac:dyDescent="0.2">
      <c r="A2" s="23" t="s">
        <v>17</v>
      </c>
      <c r="B2" s="21"/>
      <c r="C2" s="21"/>
      <c r="D2" s="21"/>
      <c r="E2"/>
      <c r="F2"/>
      <c r="G2"/>
      <c r="H2" s="29"/>
      <c r="I2" s="29"/>
      <c r="J2" s="6"/>
      <c r="K2"/>
    </row>
    <row r="3" spans="1:11" ht="23.25" customHeight="1" x14ac:dyDescent="0.2">
      <c r="A3" s="48" t="s">
        <v>18</v>
      </c>
      <c r="B3" s="21"/>
      <c r="C3" s="21"/>
      <c r="D3" s="21"/>
      <c r="E3"/>
      <c r="F3"/>
      <c r="G3" s="3"/>
      <c r="H3" s="3"/>
      <c r="I3" s="3"/>
      <c r="J3" s="6"/>
      <c r="K3"/>
    </row>
    <row r="4" spans="1:11" ht="17.25" customHeight="1" x14ac:dyDescent="0.2">
      <c r="A4" s="5"/>
      <c r="B4" s="21"/>
      <c r="C4" s="21"/>
      <c r="D4" s="21"/>
      <c r="E4"/>
      <c r="F4"/>
      <c r="G4" s="3"/>
      <c r="H4" s="3"/>
      <c r="I4" s="3"/>
      <c r="J4" s="6"/>
      <c r="K4"/>
    </row>
    <row r="5" spans="1:11" ht="17.25" customHeight="1" x14ac:dyDescent="0.2">
      <c r="A5" s="5"/>
      <c r="B5" s="21"/>
      <c r="C5" s="21"/>
      <c r="D5" s="21"/>
      <c r="E5"/>
      <c r="F5"/>
      <c r="G5" s="3"/>
      <c r="H5" s="3"/>
      <c r="I5" s="3"/>
      <c r="J5" s="6"/>
      <c r="K5"/>
    </row>
    <row r="6" spans="1:11" x14ac:dyDescent="0.2">
      <c r="A6" s="25"/>
      <c r="B6" s="26"/>
      <c r="C6" s="26"/>
      <c r="D6" s="26"/>
      <c r="E6" s="19"/>
      <c r="F6" s="2"/>
      <c r="G6" s="27"/>
      <c r="H6" s="2"/>
      <c r="I6" s="3"/>
      <c r="J6" s="6"/>
      <c r="K6"/>
    </row>
    <row r="7" spans="1:11" ht="15.75" customHeight="1" x14ac:dyDescent="0.2">
      <c r="A7" s="7" t="s">
        <v>0</v>
      </c>
      <c r="B7" s="49" t="s">
        <v>19</v>
      </c>
      <c r="C7" s="19"/>
      <c r="D7" s="19"/>
      <c r="E7" s="49" t="s">
        <v>20</v>
      </c>
      <c r="F7" s="8"/>
      <c r="G7" s="3"/>
      <c r="H7"/>
      <c r="I7"/>
      <c r="J7" s="30"/>
      <c r="K7"/>
    </row>
    <row r="8" spans="1:11" ht="15.75" customHeight="1" x14ac:dyDescent="0.2">
      <c r="A8" s="1" t="s">
        <v>1</v>
      </c>
      <c r="B8" s="9">
        <f ca="1">TODAY()</f>
        <v>45324</v>
      </c>
      <c r="C8" s="9"/>
      <c r="D8" s="9"/>
      <c r="E8" s="10">
        <f ca="1">NOW()</f>
        <v>45324.069378703702</v>
      </c>
      <c r="F8" s="8"/>
      <c r="G8" s="3"/>
      <c r="H8"/>
      <c r="I8"/>
      <c r="J8" s="28"/>
      <c r="K8"/>
    </row>
    <row r="9" spans="1:11" ht="15.75" customHeight="1" x14ac:dyDescent="0.2">
      <c r="A9" s="7"/>
      <c r="B9" s="20"/>
      <c r="C9" s="20"/>
      <c r="D9" s="20"/>
      <c r="E9" s="20"/>
      <c r="F9" s="8"/>
      <c r="G9" s="3"/>
      <c r="H9"/>
      <c r="I9"/>
      <c r="J9" s="28"/>
      <c r="K9"/>
    </row>
    <row r="10" spans="1:11" ht="15.75" customHeight="1" x14ac:dyDescent="0.2">
      <c r="A10" s="1"/>
      <c r="B10" s="21"/>
      <c r="C10" s="21"/>
      <c r="D10" s="21"/>
      <c r="E10" s="21"/>
      <c r="F10" s="3"/>
      <c r="G10" s="3"/>
      <c r="H10"/>
      <c r="I10"/>
      <c r="J10" s="28"/>
      <c r="K10"/>
    </row>
    <row r="11" spans="1:11" s="22" customFormat="1" ht="19.5" customHeight="1" x14ac:dyDescent="0.2">
      <c r="A11" s="33" t="s">
        <v>21</v>
      </c>
      <c r="B11" s="34" t="s">
        <v>156</v>
      </c>
      <c r="C11" s="35" t="s">
        <v>213</v>
      </c>
      <c r="D11" s="34" t="s">
        <v>243</v>
      </c>
      <c r="E11" s="34" t="s">
        <v>248</v>
      </c>
      <c r="F11" s="34" t="s">
        <v>271</v>
      </c>
      <c r="G11" s="34" t="s">
        <v>402</v>
      </c>
      <c r="H11" s="35" t="s">
        <v>443</v>
      </c>
      <c r="I11" s="35" t="s">
        <v>576</v>
      </c>
      <c r="J11" s="36" t="s">
        <v>604</v>
      </c>
      <c r="K11" s="37"/>
    </row>
    <row r="12" spans="1:11" s="11" customFormat="1" ht="16.5" customHeight="1" x14ac:dyDescent="0.2">
      <c r="A12" s="38" t="s">
        <v>22</v>
      </c>
      <c r="B12" s="38" t="s">
        <v>157</v>
      </c>
      <c r="C12" s="38" t="s">
        <v>214</v>
      </c>
      <c r="D12" s="38" t="s">
        <v>244</v>
      </c>
      <c r="E12" s="38" t="s">
        <v>249</v>
      </c>
      <c r="F12" s="38" t="s">
        <v>272</v>
      </c>
      <c r="G12" s="38" t="s">
        <v>403</v>
      </c>
      <c r="H12" s="39" t="s">
        <v>444</v>
      </c>
      <c r="I12" s="39" t="s">
        <v>577</v>
      </c>
      <c r="J12" s="42">
        <v>5</v>
      </c>
      <c r="K12" s="15"/>
    </row>
    <row r="13" spans="1:11" s="47" customFormat="1" ht="16.5" customHeight="1" x14ac:dyDescent="0.2">
      <c r="A13" s="44" t="s">
        <v>23</v>
      </c>
      <c r="B13" s="44" t="s">
        <v>158</v>
      </c>
      <c r="C13" s="44" t="s">
        <v>214</v>
      </c>
      <c r="D13" s="50">
        <v>0.1</v>
      </c>
      <c r="E13" s="44" t="s">
        <v>249</v>
      </c>
      <c r="F13" s="44" t="s">
        <v>273</v>
      </c>
      <c r="G13" s="44" t="s">
        <v>403</v>
      </c>
      <c r="H13" s="44" t="s">
        <v>445</v>
      </c>
      <c r="I13" s="44" t="s">
        <v>578</v>
      </c>
      <c r="J13" s="45">
        <v>85</v>
      </c>
      <c r="K13" s="46"/>
    </row>
    <row r="14" spans="1:11" s="47" customFormat="1" ht="16.5" customHeight="1" x14ac:dyDescent="0.2">
      <c r="A14" s="38" t="s">
        <v>24</v>
      </c>
      <c r="B14" s="38" t="s">
        <v>159</v>
      </c>
      <c r="C14" s="38" t="s">
        <v>215</v>
      </c>
      <c r="D14" s="38" t="s">
        <v>245</v>
      </c>
      <c r="E14" s="38" t="s">
        <v>250</v>
      </c>
      <c r="F14" s="38" t="s">
        <v>274</v>
      </c>
      <c r="G14" s="38" t="s">
        <v>404</v>
      </c>
      <c r="H14" s="39" t="s">
        <v>446</v>
      </c>
      <c r="I14" s="39" t="s">
        <v>579</v>
      </c>
      <c r="J14" s="42">
        <v>1</v>
      </c>
      <c r="K14" s="15"/>
    </row>
    <row r="15" spans="1:11" s="47" customFormat="1" ht="16.5" customHeight="1" x14ac:dyDescent="0.2">
      <c r="A15" s="44" t="s">
        <v>25</v>
      </c>
      <c r="B15" s="44" t="s">
        <v>160</v>
      </c>
      <c r="C15" s="44" t="s">
        <v>216</v>
      </c>
      <c r="D15" s="50">
        <v>0.1</v>
      </c>
      <c r="E15" s="44" t="s">
        <v>251</v>
      </c>
      <c r="F15" s="44" t="s">
        <v>275</v>
      </c>
      <c r="G15" s="44" t="s">
        <v>403</v>
      </c>
      <c r="H15" s="44" t="s">
        <v>447</v>
      </c>
      <c r="I15" s="44" t="s">
        <v>578</v>
      </c>
      <c r="J15" s="45">
        <v>2</v>
      </c>
      <c r="K15" s="46"/>
    </row>
    <row r="16" spans="1:11" s="47" customFormat="1" ht="16.5" customHeight="1" x14ac:dyDescent="0.2">
      <c r="A16" s="38" t="s">
        <v>26</v>
      </c>
      <c r="B16" s="38" t="s">
        <v>161</v>
      </c>
      <c r="C16" s="38" t="s">
        <v>214</v>
      </c>
      <c r="D16" s="38" t="s">
        <v>244</v>
      </c>
      <c r="E16" s="38" t="s">
        <v>249</v>
      </c>
      <c r="F16" s="38" t="s">
        <v>276</v>
      </c>
      <c r="G16" s="38" t="s">
        <v>403</v>
      </c>
      <c r="H16" s="39" t="s">
        <v>448</v>
      </c>
      <c r="I16" s="39" t="s">
        <v>577</v>
      </c>
      <c r="J16" s="42">
        <v>2</v>
      </c>
      <c r="K16" s="15"/>
    </row>
    <row r="17" spans="1:11" s="47" customFormat="1" ht="16.5" customHeight="1" x14ac:dyDescent="0.2">
      <c r="A17" s="44" t="s">
        <v>27</v>
      </c>
      <c r="B17" s="44" t="s">
        <v>162</v>
      </c>
      <c r="C17" s="44" t="s">
        <v>216</v>
      </c>
      <c r="D17" s="50">
        <v>0.1</v>
      </c>
      <c r="E17" s="44" t="s">
        <v>251</v>
      </c>
      <c r="F17" s="44" t="s">
        <v>277</v>
      </c>
      <c r="G17" s="44" t="s">
        <v>403</v>
      </c>
      <c r="H17" s="44" t="s">
        <v>449</v>
      </c>
      <c r="I17" s="44" t="s">
        <v>578</v>
      </c>
      <c r="J17" s="45">
        <v>16</v>
      </c>
      <c r="K17" s="46"/>
    </row>
    <row r="18" spans="1:11" s="47" customFormat="1" ht="16.5" customHeight="1" x14ac:dyDescent="0.2">
      <c r="A18" s="38" t="s">
        <v>28</v>
      </c>
      <c r="B18" s="38" t="s">
        <v>163</v>
      </c>
      <c r="C18" s="38" t="s">
        <v>216</v>
      </c>
      <c r="D18" s="51">
        <v>0.1</v>
      </c>
      <c r="E18" s="38" t="s">
        <v>249</v>
      </c>
      <c r="F18" s="38" t="s">
        <v>278</v>
      </c>
      <c r="G18" s="38" t="s">
        <v>403</v>
      </c>
      <c r="H18" s="39" t="s">
        <v>450</v>
      </c>
      <c r="I18" s="39" t="s">
        <v>578</v>
      </c>
      <c r="J18" s="42">
        <v>10</v>
      </c>
      <c r="K18" s="15"/>
    </row>
    <row r="19" spans="1:11" s="47" customFormat="1" ht="16.5" customHeight="1" x14ac:dyDescent="0.2">
      <c r="A19" s="44" t="s">
        <v>29</v>
      </c>
      <c r="B19" s="44" t="s">
        <v>164</v>
      </c>
      <c r="C19" s="44" t="s">
        <v>216</v>
      </c>
      <c r="D19" s="50">
        <v>0.2</v>
      </c>
      <c r="E19" s="44" t="s">
        <v>251</v>
      </c>
      <c r="F19" s="44" t="s">
        <v>279</v>
      </c>
      <c r="G19" s="44" t="s">
        <v>405</v>
      </c>
      <c r="H19" s="44" t="s">
        <v>451</v>
      </c>
      <c r="I19" s="44" t="s">
        <v>578</v>
      </c>
      <c r="J19" s="45">
        <v>10</v>
      </c>
      <c r="K19" s="46"/>
    </row>
    <row r="20" spans="1:11" s="47" customFormat="1" ht="16.5" customHeight="1" x14ac:dyDescent="0.2">
      <c r="A20" s="38" t="s">
        <v>30</v>
      </c>
      <c r="B20" s="38" t="s">
        <v>165</v>
      </c>
      <c r="C20" s="38" t="s">
        <v>216</v>
      </c>
      <c r="D20" s="51">
        <v>0.1</v>
      </c>
      <c r="E20" s="38" t="s">
        <v>249</v>
      </c>
      <c r="F20" s="38" t="s">
        <v>280</v>
      </c>
      <c r="G20" s="38" t="s">
        <v>403</v>
      </c>
      <c r="H20" s="39" t="s">
        <v>452</v>
      </c>
      <c r="I20" s="39" t="s">
        <v>577</v>
      </c>
      <c r="J20" s="42">
        <v>3</v>
      </c>
      <c r="K20" s="15"/>
    </row>
    <row r="21" spans="1:11" s="47" customFormat="1" ht="16.5" customHeight="1" x14ac:dyDescent="0.2">
      <c r="A21" s="44" t="s">
        <v>31</v>
      </c>
      <c r="B21" s="44" t="s">
        <v>166</v>
      </c>
      <c r="C21" s="44" t="s">
        <v>217</v>
      </c>
      <c r="D21" s="50">
        <v>0.1</v>
      </c>
      <c r="E21" s="44" t="s">
        <v>251</v>
      </c>
      <c r="F21" s="44" t="s">
        <v>281</v>
      </c>
      <c r="G21" s="44" t="s">
        <v>405</v>
      </c>
      <c r="H21" s="44" t="s">
        <v>453</v>
      </c>
      <c r="I21" s="44" t="s">
        <v>578</v>
      </c>
      <c r="J21" s="45">
        <v>8</v>
      </c>
      <c r="K21" s="46"/>
    </row>
    <row r="22" spans="1:11" s="47" customFormat="1" ht="16.5" customHeight="1" x14ac:dyDescent="0.2">
      <c r="A22" s="38" t="s">
        <v>32</v>
      </c>
      <c r="B22" s="38" t="s">
        <v>167</v>
      </c>
      <c r="C22" s="38" t="s">
        <v>214</v>
      </c>
      <c r="D22" s="51">
        <v>0.05</v>
      </c>
      <c r="E22" s="38" t="s">
        <v>249</v>
      </c>
      <c r="F22" s="38" t="s">
        <v>282</v>
      </c>
      <c r="G22" s="38" t="s">
        <v>403</v>
      </c>
      <c r="H22" s="39" t="s">
        <v>454</v>
      </c>
      <c r="I22" s="39" t="s">
        <v>578</v>
      </c>
      <c r="J22" s="42">
        <v>1</v>
      </c>
      <c r="K22" s="15"/>
    </row>
    <row r="23" spans="1:11" s="47" customFormat="1" ht="16.5" customHeight="1" x14ac:dyDescent="0.2">
      <c r="A23" s="44" t="s">
        <v>33</v>
      </c>
      <c r="B23" s="44" t="s">
        <v>168</v>
      </c>
      <c r="C23" s="44" t="s">
        <v>218</v>
      </c>
      <c r="D23" s="50">
        <v>0.1</v>
      </c>
      <c r="E23" s="44" t="s">
        <v>249</v>
      </c>
      <c r="F23" s="44" t="s">
        <v>283</v>
      </c>
      <c r="G23" s="44" t="s">
        <v>406</v>
      </c>
      <c r="H23" s="44" t="s">
        <v>455</v>
      </c>
      <c r="I23" s="44" t="s">
        <v>580</v>
      </c>
      <c r="J23" s="45">
        <v>2</v>
      </c>
      <c r="K23" s="46"/>
    </row>
    <row r="24" spans="1:11" s="47" customFormat="1" ht="16.5" customHeight="1" x14ac:dyDescent="0.2">
      <c r="A24" s="38" t="s">
        <v>34</v>
      </c>
      <c r="B24" s="38" t="s">
        <v>169</v>
      </c>
      <c r="C24" s="38" t="s">
        <v>219</v>
      </c>
      <c r="D24" s="51">
        <v>0.1</v>
      </c>
      <c r="E24" s="38" t="s">
        <v>249</v>
      </c>
      <c r="F24" s="38" t="s">
        <v>284</v>
      </c>
      <c r="G24" s="38" t="s">
        <v>405</v>
      </c>
      <c r="H24" s="39" t="s">
        <v>456</v>
      </c>
      <c r="I24" s="39" t="s">
        <v>577</v>
      </c>
      <c r="J24" s="42">
        <v>1</v>
      </c>
      <c r="K24" s="15"/>
    </row>
    <row r="25" spans="1:11" s="47" customFormat="1" ht="16.5" customHeight="1" x14ac:dyDescent="0.2">
      <c r="A25" s="44" t="s">
        <v>35</v>
      </c>
      <c r="B25" s="44" t="s">
        <v>166</v>
      </c>
      <c r="C25" s="44" t="s">
        <v>219</v>
      </c>
      <c r="D25" s="50">
        <v>0.1</v>
      </c>
      <c r="E25" s="44" t="s">
        <v>249</v>
      </c>
      <c r="F25" s="44" t="s">
        <v>285</v>
      </c>
      <c r="G25" s="44" t="s">
        <v>407</v>
      </c>
      <c r="H25" s="44" t="s">
        <v>457</v>
      </c>
      <c r="I25" s="44" t="s">
        <v>580</v>
      </c>
      <c r="J25" s="45">
        <v>2</v>
      </c>
      <c r="K25" s="46"/>
    </row>
    <row r="26" spans="1:11" s="47" customFormat="1" ht="16.5" customHeight="1" x14ac:dyDescent="0.2">
      <c r="A26" s="38" t="s">
        <v>36</v>
      </c>
      <c r="B26" s="38" t="s">
        <v>160</v>
      </c>
      <c r="C26" s="38" t="s">
        <v>219</v>
      </c>
      <c r="D26" s="51">
        <v>0.1</v>
      </c>
      <c r="E26" s="38" t="s">
        <v>249</v>
      </c>
      <c r="F26" s="38" t="s">
        <v>286</v>
      </c>
      <c r="G26" s="38" t="s">
        <v>407</v>
      </c>
      <c r="H26" s="39" t="s">
        <v>458</v>
      </c>
      <c r="I26" s="39" t="s">
        <v>578</v>
      </c>
      <c r="J26" s="42">
        <v>2</v>
      </c>
      <c r="K26" s="15"/>
    </row>
    <row r="27" spans="1:11" s="47" customFormat="1" ht="16.5" customHeight="1" x14ac:dyDescent="0.2">
      <c r="A27" s="44" t="s">
        <v>37</v>
      </c>
      <c r="B27" s="44" t="s">
        <v>158</v>
      </c>
      <c r="C27" s="44" t="s">
        <v>219</v>
      </c>
      <c r="D27" s="50">
        <v>0.1</v>
      </c>
      <c r="E27" s="44" t="s">
        <v>249</v>
      </c>
      <c r="F27" s="44" t="s">
        <v>287</v>
      </c>
      <c r="G27" s="44" t="s">
        <v>405</v>
      </c>
      <c r="H27" s="44" t="s">
        <v>459</v>
      </c>
      <c r="I27" s="44" t="s">
        <v>578</v>
      </c>
      <c r="J27" s="45">
        <v>5</v>
      </c>
      <c r="K27" s="46"/>
    </row>
    <row r="28" spans="1:11" s="47" customFormat="1" ht="16.5" customHeight="1" x14ac:dyDescent="0.2">
      <c r="A28" s="38" t="s">
        <v>38</v>
      </c>
      <c r="B28" s="38" t="s">
        <v>170</v>
      </c>
      <c r="C28" s="38" t="s">
        <v>219</v>
      </c>
      <c r="D28" s="51">
        <v>0.1</v>
      </c>
      <c r="E28" s="38" t="s">
        <v>249</v>
      </c>
      <c r="F28" s="38" t="s">
        <v>288</v>
      </c>
      <c r="G28" s="38" t="s">
        <v>405</v>
      </c>
      <c r="H28" s="39" t="s">
        <v>460</v>
      </c>
      <c r="I28" s="39" t="s">
        <v>577</v>
      </c>
      <c r="J28" s="42">
        <v>1</v>
      </c>
      <c r="K28" s="15"/>
    </row>
    <row r="29" spans="1:11" s="47" customFormat="1" ht="16.5" customHeight="1" x14ac:dyDescent="0.2">
      <c r="A29" s="44" t="s">
        <v>39</v>
      </c>
      <c r="B29" s="44" t="s">
        <v>166</v>
      </c>
      <c r="C29" s="44" t="s">
        <v>214</v>
      </c>
      <c r="D29" s="50">
        <v>0.1</v>
      </c>
      <c r="E29" s="44" t="s">
        <v>249</v>
      </c>
      <c r="F29" s="44" t="s">
        <v>289</v>
      </c>
      <c r="G29" s="44" t="s">
        <v>408</v>
      </c>
      <c r="H29" s="44" t="s">
        <v>461</v>
      </c>
      <c r="I29" s="44" t="s">
        <v>578</v>
      </c>
      <c r="J29" s="45">
        <v>11</v>
      </c>
      <c r="K29" s="46"/>
    </row>
    <row r="30" spans="1:11" s="47" customFormat="1" ht="16.5" customHeight="1" x14ac:dyDescent="0.2">
      <c r="A30" s="38" t="s">
        <v>40</v>
      </c>
      <c r="B30" s="38" t="s">
        <v>165</v>
      </c>
      <c r="C30" s="38" t="s">
        <v>217</v>
      </c>
      <c r="D30" s="51">
        <v>0.1</v>
      </c>
      <c r="E30" s="38" t="s">
        <v>249</v>
      </c>
      <c r="F30" s="38" t="s">
        <v>290</v>
      </c>
      <c r="G30" s="38" t="s">
        <v>405</v>
      </c>
      <c r="H30" s="39" t="s">
        <v>462</v>
      </c>
      <c r="I30" s="39" t="s">
        <v>578</v>
      </c>
      <c r="J30" s="42">
        <v>2</v>
      </c>
      <c r="K30" s="15"/>
    </row>
    <row r="31" spans="1:11" s="47" customFormat="1" ht="16.5" customHeight="1" x14ac:dyDescent="0.2">
      <c r="A31" s="44" t="s">
        <v>41</v>
      </c>
      <c r="B31" s="44" t="s">
        <v>171</v>
      </c>
      <c r="C31" s="44" t="s">
        <v>214</v>
      </c>
      <c r="D31" s="50">
        <v>0.05</v>
      </c>
      <c r="E31" s="44" t="s">
        <v>249</v>
      </c>
      <c r="F31" s="44" t="s">
        <v>291</v>
      </c>
      <c r="G31" s="44" t="s">
        <v>403</v>
      </c>
      <c r="H31" s="44" t="s">
        <v>463</v>
      </c>
      <c r="I31" s="44" t="s">
        <v>578</v>
      </c>
      <c r="J31" s="45">
        <v>1</v>
      </c>
      <c r="K31" s="46"/>
    </row>
    <row r="32" spans="1:11" s="47" customFormat="1" ht="16.5" customHeight="1" x14ac:dyDescent="0.2">
      <c r="A32" s="38" t="s">
        <v>42</v>
      </c>
      <c r="B32" s="38" t="s">
        <v>168</v>
      </c>
      <c r="C32" s="38" t="s">
        <v>214</v>
      </c>
      <c r="D32" s="51">
        <v>0.1</v>
      </c>
      <c r="E32" s="38" t="s">
        <v>249</v>
      </c>
      <c r="F32" s="38" t="s">
        <v>292</v>
      </c>
      <c r="G32" s="38" t="s">
        <v>403</v>
      </c>
      <c r="H32" s="39" t="s">
        <v>464</v>
      </c>
      <c r="I32" s="39" t="s">
        <v>578</v>
      </c>
      <c r="J32" s="42">
        <v>1</v>
      </c>
      <c r="K32" s="15"/>
    </row>
    <row r="33" spans="1:11" s="47" customFormat="1" ht="16.5" customHeight="1" x14ac:dyDescent="0.2">
      <c r="A33" s="44" t="s">
        <v>43</v>
      </c>
      <c r="B33" s="44" t="s">
        <v>172</v>
      </c>
      <c r="C33" s="44" t="s">
        <v>219</v>
      </c>
      <c r="D33" s="50">
        <v>0.1</v>
      </c>
      <c r="E33" s="44" t="s">
        <v>249</v>
      </c>
      <c r="F33" s="44" t="s">
        <v>293</v>
      </c>
      <c r="G33" s="44" t="s">
        <v>403</v>
      </c>
      <c r="H33" s="44" t="s">
        <v>465</v>
      </c>
      <c r="I33" s="44" t="s">
        <v>578</v>
      </c>
      <c r="J33" s="45">
        <v>3</v>
      </c>
      <c r="K33" s="46"/>
    </row>
    <row r="34" spans="1:11" s="47" customFormat="1" ht="16.5" customHeight="1" x14ac:dyDescent="0.2">
      <c r="A34" s="38" t="s">
        <v>44</v>
      </c>
      <c r="B34" s="38" t="s">
        <v>173</v>
      </c>
      <c r="C34" s="38" t="s">
        <v>217</v>
      </c>
      <c r="D34" s="51">
        <v>0.1</v>
      </c>
      <c r="E34" s="38" t="s">
        <v>249</v>
      </c>
      <c r="F34" s="38" t="s">
        <v>294</v>
      </c>
      <c r="G34" s="38" t="s">
        <v>403</v>
      </c>
      <c r="H34" s="39" t="s">
        <v>466</v>
      </c>
      <c r="I34" s="39" t="s">
        <v>578</v>
      </c>
      <c r="J34" s="42">
        <v>1</v>
      </c>
      <c r="K34" s="15"/>
    </row>
    <row r="35" spans="1:11" s="47" customFormat="1" ht="16.5" customHeight="1" x14ac:dyDescent="0.2">
      <c r="A35" s="44" t="s">
        <v>45</v>
      </c>
      <c r="B35" s="44" t="s">
        <v>174</v>
      </c>
      <c r="C35" s="44" t="s">
        <v>214</v>
      </c>
      <c r="D35" s="50">
        <v>0.1</v>
      </c>
      <c r="E35" s="44" t="s">
        <v>249</v>
      </c>
      <c r="F35" s="44" t="s">
        <v>295</v>
      </c>
      <c r="G35" s="44" t="s">
        <v>403</v>
      </c>
      <c r="H35" s="44" t="s">
        <v>467</v>
      </c>
      <c r="I35" s="44" t="s">
        <v>578</v>
      </c>
      <c r="J35" s="45">
        <v>1</v>
      </c>
      <c r="K35" s="46"/>
    </row>
    <row r="36" spans="1:11" s="47" customFormat="1" ht="16.5" customHeight="1" x14ac:dyDescent="0.2">
      <c r="A36" s="38" t="s">
        <v>46</v>
      </c>
      <c r="B36" s="38" t="s">
        <v>175</v>
      </c>
      <c r="C36" s="38" t="s">
        <v>214</v>
      </c>
      <c r="D36" s="38" t="s">
        <v>244</v>
      </c>
      <c r="E36" s="38" t="s">
        <v>249</v>
      </c>
      <c r="F36" s="38" t="s">
        <v>296</v>
      </c>
      <c r="G36" s="38" t="s">
        <v>403</v>
      </c>
      <c r="H36" s="39" t="s">
        <v>468</v>
      </c>
      <c r="I36" s="39" t="s">
        <v>578</v>
      </c>
      <c r="J36" s="42">
        <v>1</v>
      </c>
      <c r="K36" s="15"/>
    </row>
    <row r="37" spans="1:11" s="47" customFormat="1" ht="16.5" customHeight="1" x14ac:dyDescent="0.2">
      <c r="A37" s="44" t="s">
        <v>47</v>
      </c>
      <c r="B37" s="44" t="s">
        <v>176</v>
      </c>
      <c r="C37" s="44" t="s">
        <v>214</v>
      </c>
      <c r="D37" s="50">
        <v>0.1</v>
      </c>
      <c r="E37" s="44" t="s">
        <v>249</v>
      </c>
      <c r="F37" s="44" t="s">
        <v>297</v>
      </c>
      <c r="G37" s="44" t="s">
        <v>403</v>
      </c>
      <c r="H37" s="44" t="s">
        <v>469</v>
      </c>
      <c r="I37" s="44" t="s">
        <v>577</v>
      </c>
      <c r="J37" s="45">
        <v>2</v>
      </c>
      <c r="K37" s="46"/>
    </row>
    <row r="38" spans="1:11" s="47" customFormat="1" ht="16.5" customHeight="1" x14ac:dyDescent="0.2">
      <c r="A38" s="38" t="s">
        <v>48</v>
      </c>
      <c r="B38" s="38" t="s">
        <v>172</v>
      </c>
      <c r="C38" s="38" t="s">
        <v>220</v>
      </c>
      <c r="D38" s="51">
        <v>0.1</v>
      </c>
      <c r="E38" s="38" t="s">
        <v>249</v>
      </c>
      <c r="F38" s="38" t="s">
        <v>298</v>
      </c>
      <c r="G38" s="38" t="s">
        <v>409</v>
      </c>
      <c r="H38" s="39" t="s">
        <v>470</v>
      </c>
      <c r="I38" s="39" t="s">
        <v>580</v>
      </c>
      <c r="J38" s="42">
        <v>4</v>
      </c>
      <c r="K38" s="15"/>
    </row>
    <row r="39" spans="1:11" s="47" customFormat="1" ht="16.5" customHeight="1" x14ac:dyDescent="0.2">
      <c r="A39" s="44" t="s">
        <v>49</v>
      </c>
      <c r="B39" s="44"/>
      <c r="C39" s="44"/>
      <c r="D39" s="44"/>
      <c r="E39" s="44" t="s">
        <v>252</v>
      </c>
      <c r="F39" s="44" t="s">
        <v>299</v>
      </c>
      <c r="G39" s="44" t="s">
        <v>410</v>
      </c>
      <c r="H39" s="44" t="s">
        <v>471</v>
      </c>
      <c r="I39" s="44" t="s">
        <v>581</v>
      </c>
      <c r="J39" s="45">
        <v>3</v>
      </c>
      <c r="K39" s="46"/>
    </row>
    <row r="40" spans="1:11" s="47" customFormat="1" ht="16.5" customHeight="1" x14ac:dyDescent="0.2">
      <c r="A40" s="38" t="s">
        <v>50</v>
      </c>
      <c r="B40" s="38"/>
      <c r="C40" s="38"/>
      <c r="D40" s="38"/>
      <c r="E40" s="38" t="s">
        <v>252</v>
      </c>
      <c r="F40" s="38" t="s">
        <v>300</v>
      </c>
      <c r="G40" s="38" t="s">
        <v>410</v>
      </c>
      <c r="H40" s="39" t="s">
        <v>472</v>
      </c>
      <c r="I40" s="39" t="s">
        <v>581</v>
      </c>
      <c r="J40" s="42">
        <v>6</v>
      </c>
      <c r="K40" s="15"/>
    </row>
    <row r="41" spans="1:11" s="47" customFormat="1" ht="16.5" customHeight="1" x14ac:dyDescent="0.2">
      <c r="A41" s="44" t="s">
        <v>51</v>
      </c>
      <c r="B41" s="44"/>
      <c r="C41" s="44"/>
      <c r="D41" s="44"/>
      <c r="E41" s="44" t="s">
        <v>252</v>
      </c>
      <c r="F41" s="44" t="s">
        <v>301</v>
      </c>
      <c r="G41" s="44" t="s">
        <v>411</v>
      </c>
      <c r="H41" s="44" t="s">
        <v>473</v>
      </c>
      <c r="I41" s="44" t="s">
        <v>582</v>
      </c>
      <c r="J41" s="45">
        <v>2</v>
      </c>
      <c r="K41" s="46"/>
    </row>
    <row r="42" spans="1:11" s="47" customFormat="1" ht="16.5" customHeight="1" x14ac:dyDescent="0.2">
      <c r="A42" s="38" t="s">
        <v>52</v>
      </c>
      <c r="B42" s="38"/>
      <c r="C42" s="38"/>
      <c r="D42" s="38"/>
      <c r="E42" s="38" t="s">
        <v>253</v>
      </c>
      <c r="F42" s="38" t="s">
        <v>302</v>
      </c>
      <c r="G42" s="38" t="s">
        <v>412</v>
      </c>
      <c r="H42" s="39" t="s">
        <v>474</v>
      </c>
      <c r="I42" s="39" t="s">
        <v>583</v>
      </c>
      <c r="J42" s="42">
        <v>1</v>
      </c>
      <c r="K42" s="15"/>
    </row>
    <row r="43" spans="1:11" s="47" customFormat="1" ht="16.5" customHeight="1" x14ac:dyDescent="0.2">
      <c r="A43" s="44" t="s">
        <v>53</v>
      </c>
      <c r="B43" s="44"/>
      <c r="C43" s="44"/>
      <c r="D43" s="44"/>
      <c r="E43" s="44" t="s">
        <v>253</v>
      </c>
      <c r="F43" s="44" t="s">
        <v>303</v>
      </c>
      <c r="G43" s="44" t="s">
        <v>413</v>
      </c>
      <c r="H43" s="44" t="s">
        <v>475</v>
      </c>
      <c r="I43" s="44" t="s">
        <v>583</v>
      </c>
      <c r="J43" s="45">
        <v>1</v>
      </c>
      <c r="K43" s="46"/>
    </row>
    <row r="44" spans="1:11" s="47" customFormat="1" ht="16.5" customHeight="1" x14ac:dyDescent="0.2">
      <c r="A44" s="38" t="s">
        <v>54</v>
      </c>
      <c r="B44" s="38"/>
      <c r="C44" s="38"/>
      <c r="D44" s="38"/>
      <c r="E44" s="38" t="s">
        <v>254</v>
      </c>
      <c r="F44" s="38" t="s">
        <v>304</v>
      </c>
      <c r="G44" s="38" t="s">
        <v>414</v>
      </c>
      <c r="H44" s="39" t="s">
        <v>476</v>
      </c>
      <c r="I44" s="39" t="s">
        <v>583</v>
      </c>
      <c r="J44" s="42">
        <v>2</v>
      </c>
      <c r="K44" s="15"/>
    </row>
    <row r="45" spans="1:11" s="47" customFormat="1" ht="16.5" customHeight="1" x14ac:dyDescent="0.2">
      <c r="A45" s="44" t="s">
        <v>55</v>
      </c>
      <c r="B45" s="44"/>
      <c r="C45" s="44"/>
      <c r="D45" s="44"/>
      <c r="E45" s="44" t="s">
        <v>253</v>
      </c>
      <c r="F45" s="44" t="s">
        <v>305</v>
      </c>
      <c r="G45" s="44" t="s">
        <v>415</v>
      </c>
      <c r="H45" s="44" t="s">
        <v>477</v>
      </c>
      <c r="I45" s="44" t="s">
        <v>583</v>
      </c>
      <c r="J45" s="45">
        <v>1</v>
      </c>
      <c r="K45" s="46"/>
    </row>
    <row r="46" spans="1:11" s="47" customFormat="1" ht="16.5" customHeight="1" x14ac:dyDescent="0.2">
      <c r="A46" s="38" t="s">
        <v>56</v>
      </c>
      <c r="B46" s="38"/>
      <c r="C46" s="38"/>
      <c r="D46" s="38"/>
      <c r="E46" s="38" t="s">
        <v>255</v>
      </c>
      <c r="F46" s="38" t="s">
        <v>306</v>
      </c>
      <c r="G46" s="38" t="s">
        <v>416</v>
      </c>
      <c r="H46" s="39" t="s">
        <v>478</v>
      </c>
      <c r="I46" s="39" t="s">
        <v>584</v>
      </c>
      <c r="J46" s="42">
        <v>1</v>
      </c>
      <c r="K46" s="15"/>
    </row>
    <row r="47" spans="1:11" s="47" customFormat="1" ht="16.5" customHeight="1" x14ac:dyDescent="0.2">
      <c r="A47" s="44" t="s">
        <v>57</v>
      </c>
      <c r="B47" s="44"/>
      <c r="C47" s="44"/>
      <c r="D47" s="44"/>
      <c r="E47" s="44" t="s">
        <v>253</v>
      </c>
      <c r="F47" s="44" t="s">
        <v>307</v>
      </c>
      <c r="G47" s="44" t="s">
        <v>417</v>
      </c>
      <c r="H47" s="44" t="s">
        <v>479</v>
      </c>
      <c r="I47" s="44" t="s">
        <v>582</v>
      </c>
      <c r="J47" s="45">
        <v>2</v>
      </c>
      <c r="K47" s="46"/>
    </row>
    <row r="48" spans="1:11" s="47" customFormat="1" ht="16.5" customHeight="1" x14ac:dyDescent="0.2">
      <c r="A48" s="38" t="s">
        <v>58</v>
      </c>
      <c r="B48" s="38"/>
      <c r="C48" s="38"/>
      <c r="D48" s="38" t="s">
        <v>246</v>
      </c>
      <c r="E48" s="38" t="s">
        <v>252</v>
      </c>
      <c r="F48" s="38" t="s">
        <v>308</v>
      </c>
      <c r="G48" s="38" t="s">
        <v>418</v>
      </c>
      <c r="H48" s="39" t="s">
        <v>480</v>
      </c>
      <c r="I48" s="39" t="s">
        <v>585</v>
      </c>
      <c r="J48" s="42">
        <v>1</v>
      </c>
      <c r="K48" s="15"/>
    </row>
    <row r="49" spans="1:11" s="47" customFormat="1" ht="16.5" customHeight="1" x14ac:dyDescent="0.2">
      <c r="A49" s="44" t="s">
        <v>59</v>
      </c>
      <c r="B49" s="44"/>
      <c r="C49" s="44"/>
      <c r="D49" s="44"/>
      <c r="E49" s="44" t="s">
        <v>256</v>
      </c>
      <c r="F49" s="44" t="s">
        <v>309</v>
      </c>
      <c r="G49" s="44" t="s">
        <v>419</v>
      </c>
      <c r="H49" s="44" t="s">
        <v>481</v>
      </c>
      <c r="I49" s="44" t="s">
        <v>586</v>
      </c>
      <c r="J49" s="45">
        <v>4</v>
      </c>
      <c r="K49" s="46"/>
    </row>
    <row r="50" spans="1:11" s="47" customFormat="1" ht="16.5" customHeight="1" x14ac:dyDescent="0.2">
      <c r="A50" s="38" t="s">
        <v>60</v>
      </c>
      <c r="B50" s="38"/>
      <c r="C50" s="38"/>
      <c r="D50" s="38"/>
      <c r="E50" s="38" t="s">
        <v>255</v>
      </c>
      <c r="F50" s="38" t="s">
        <v>310</v>
      </c>
      <c r="G50" s="38" t="s">
        <v>420</v>
      </c>
      <c r="H50" s="39" t="s">
        <v>482</v>
      </c>
      <c r="I50" s="39" t="s">
        <v>583</v>
      </c>
      <c r="J50" s="42">
        <v>1</v>
      </c>
      <c r="K50" s="15"/>
    </row>
    <row r="51" spans="1:11" s="47" customFormat="1" ht="16.5" customHeight="1" x14ac:dyDescent="0.2">
      <c r="A51" s="44" t="s">
        <v>61</v>
      </c>
      <c r="B51" s="44"/>
      <c r="C51" s="44"/>
      <c r="D51" s="44"/>
      <c r="E51" s="44" t="s">
        <v>256</v>
      </c>
      <c r="F51" s="44" t="s">
        <v>310</v>
      </c>
      <c r="G51" s="44" t="s">
        <v>420</v>
      </c>
      <c r="H51" s="44" t="s">
        <v>483</v>
      </c>
      <c r="I51" s="44" t="s">
        <v>583</v>
      </c>
      <c r="J51" s="45">
        <v>1</v>
      </c>
      <c r="K51" s="46"/>
    </row>
    <row r="52" spans="1:11" s="47" customFormat="1" ht="16.5" customHeight="1" x14ac:dyDescent="0.2">
      <c r="A52" s="38" t="s">
        <v>62</v>
      </c>
      <c r="B52" s="38"/>
      <c r="C52" s="38"/>
      <c r="D52" s="38"/>
      <c r="E52" s="38" t="s">
        <v>257</v>
      </c>
      <c r="F52" s="38" t="s">
        <v>311</v>
      </c>
      <c r="G52" s="38" t="s">
        <v>421</v>
      </c>
      <c r="H52" s="39" t="s">
        <v>484</v>
      </c>
      <c r="I52" s="39" t="s">
        <v>587</v>
      </c>
      <c r="J52" s="42">
        <v>1</v>
      </c>
      <c r="K52" s="15"/>
    </row>
    <row r="53" spans="1:11" s="47" customFormat="1" ht="16.5" customHeight="1" x14ac:dyDescent="0.2">
      <c r="A53" s="44" t="s">
        <v>63</v>
      </c>
      <c r="B53" s="44"/>
      <c r="C53" s="44"/>
      <c r="D53" s="44"/>
      <c r="E53" s="44" t="s">
        <v>252</v>
      </c>
      <c r="F53" s="44" t="s">
        <v>312</v>
      </c>
      <c r="G53" s="44" t="s">
        <v>413</v>
      </c>
      <c r="H53" s="44" t="s">
        <v>485</v>
      </c>
      <c r="I53" s="44" t="s">
        <v>588</v>
      </c>
      <c r="J53" s="45">
        <v>1</v>
      </c>
      <c r="K53" s="46"/>
    </row>
    <row r="54" spans="1:11" s="47" customFormat="1" ht="16.5" customHeight="1" x14ac:dyDescent="0.2">
      <c r="A54" s="38" t="s">
        <v>64</v>
      </c>
      <c r="B54" s="38"/>
      <c r="C54" s="38"/>
      <c r="D54" s="38"/>
      <c r="E54" s="38" t="s">
        <v>255</v>
      </c>
      <c r="F54" s="38" t="s">
        <v>313</v>
      </c>
      <c r="G54" s="38" t="s">
        <v>422</v>
      </c>
      <c r="H54" s="39" t="s">
        <v>486</v>
      </c>
      <c r="I54" s="39" t="s">
        <v>584</v>
      </c>
      <c r="J54" s="42">
        <v>1</v>
      </c>
      <c r="K54" s="15"/>
    </row>
    <row r="55" spans="1:11" s="47" customFormat="1" ht="16.5" customHeight="1" x14ac:dyDescent="0.2">
      <c r="A55" s="44" t="s">
        <v>65</v>
      </c>
      <c r="B55" s="44"/>
      <c r="C55" s="44" t="s">
        <v>221</v>
      </c>
      <c r="D55" s="44"/>
      <c r="E55" s="44" t="s">
        <v>249</v>
      </c>
      <c r="F55" s="44" t="s">
        <v>314</v>
      </c>
      <c r="G55" s="44" t="s">
        <v>423</v>
      </c>
      <c r="H55" s="44" t="s">
        <v>487</v>
      </c>
      <c r="I55" s="44" t="s">
        <v>589</v>
      </c>
      <c r="J55" s="45">
        <v>26</v>
      </c>
      <c r="K55" s="46"/>
    </row>
    <row r="56" spans="1:11" s="47" customFormat="1" ht="16.5" customHeight="1" x14ac:dyDescent="0.2">
      <c r="A56" s="38" t="s">
        <v>66</v>
      </c>
      <c r="B56" s="38"/>
      <c r="C56" s="38" t="s">
        <v>222</v>
      </c>
      <c r="D56" s="38"/>
      <c r="E56" s="38" t="s">
        <v>252</v>
      </c>
      <c r="F56" s="38" t="s">
        <v>315</v>
      </c>
      <c r="G56" s="38" t="s">
        <v>424</v>
      </c>
      <c r="H56" s="39" t="s">
        <v>488</v>
      </c>
      <c r="I56" s="39" t="s">
        <v>589</v>
      </c>
      <c r="J56" s="42">
        <v>5</v>
      </c>
      <c r="K56" s="15"/>
    </row>
    <row r="57" spans="1:11" s="47" customFormat="1" ht="16.5" customHeight="1" x14ac:dyDescent="0.2">
      <c r="A57" s="44" t="s">
        <v>67</v>
      </c>
      <c r="B57" s="44"/>
      <c r="C57" s="44" t="s">
        <v>223</v>
      </c>
      <c r="D57" s="44"/>
      <c r="E57" s="44" t="s">
        <v>252</v>
      </c>
      <c r="F57" s="44" t="s">
        <v>316</v>
      </c>
      <c r="G57" s="44" t="s">
        <v>424</v>
      </c>
      <c r="H57" s="44" t="s">
        <v>489</v>
      </c>
      <c r="I57" s="44" t="s">
        <v>589</v>
      </c>
      <c r="J57" s="45">
        <v>3</v>
      </c>
      <c r="K57" s="46"/>
    </row>
    <row r="58" spans="1:11" s="47" customFormat="1" ht="16.5" customHeight="1" x14ac:dyDescent="0.2">
      <c r="A58" s="38" t="s">
        <v>68</v>
      </c>
      <c r="B58" s="38"/>
      <c r="C58" s="38"/>
      <c r="D58" s="38"/>
      <c r="E58" s="38"/>
      <c r="F58" s="38" t="s">
        <v>317</v>
      </c>
      <c r="G58" s="38" t="s">
        <v>425</v>
      </c>
      <c r="H58" s="39" t="s">
        <v>490</v>
      </c>
      <c r="I58" s="39" t="s">
        <v>590</v>
      </c>
      <c r="J58" s="42">
        <v>5</v>
      </c>
      <c r="K58" s="15"/>
    </row>
    <row r="59" spans="1:11" s="47" customFormat="1" ht="16.5" customHeight="1" x14ac:dyDescent="0.2">
      <c r="A59" s="44" t="s">
        <v>69</v>
      </c>
      <c r="B59" s="44"/>
      <c r="C59" s="44" t="s">
        <v>224</v>
      </c>
      <c r="D59" s="44"/>
      <c r="E59" s="44" t="s">
        <v>258</v>
      </c>
      <c r="F59" s="44" t="s">
        <v>318</v>
      </c>
      <c r="G59" s="44" t="s">
        <v>403</v>
      </c>
      <c r="H59" s="44" t="s">
        <v>491</v>
      </c>
      <c r="I59" s="44" t="s">
        <v>591</v>
      </c>
      <c r="J59" s="45">
        <v>1</v>
      </c>
      <c r="K59" s="46"/>
    </row>
    <row r="60" spans="1:11" s="47" customFormat="1" ht="16.5" customHeight="1" x14ac:dyDescent="0.2">
      <c r="A60" s="38" t="s">
        <v>70</v>
      </c>
      <c r="B60" s="38"/>
      <c r="C60" s="38" t="s">
        <v>224</v>
      </c>
      <c r="D60" s="38"/>
      <c r="E60" s="38" t="s">
        <v>258</v>
      </c>
      <c r="F60" s="38" t="s">
        <v>318</v>
      </c>
      <c r="G60" s="38" t="s">
        <v>403</v>
      </c>
      <c r="H60" s="39" t="s">
        <v>492</v>
      </c>
      <c r="I60" s="39" t="s">
        <v>591</v>
      </c>
      <c r="J60" s="42">
        <v>6</v>
      </c>
      <c r="K60" s="15"/>
    </row>
    <row r="61" spans="1:11" s="47" customFormat="1" ht="16.5" customHeight="1" x14ac:dyDescent="0.2">
      <c r="A61" s="44" t="s">
        <v>71</v>
      </c>
      <c r="B61" s="44" t="s">
        <v>177</v>
      </c>
      <c r="C61" s="44"/>
      <c r="D61" s="44"/>
      <c r="E61" s="44" t="s">
        <v>249</v>
      </c>
      <c r="F61" s="44" t="s">
        <v>319</v>
      </c>
      <c r="G61" s="44" t="s">
        <v>403</v>
      </c>
      <c r="H61" s="44" t="s">
        <v>493</v>
      </c>
      <c r="I61" s="44" t="s">
        <v>580</v>
      </c>
      <c r="J61" s="45">
        <v>5</v>
      </c>
      <c r="K61" s="46"/>
    </row>
    <row r="62" spans="1:11" s="47" customFormat="1" ht="16.5" customHeight="1" x14ac:dyDescent="0.2">
      <c r="A62" s="38" t="s">
        <v>72</v>
      </c>
      <c r="B62" s="38" t="s">
        <v>178</v>
      </c>
      <c r="C62" s="38"/>
      <c r="D62" s="51">
        <v>0.2</v>
      </c>
      <c r="E62" s="38" t="s">
        <v>259</v>
      </c>
      <c r="F62" s="38" t="s">
        <v>320</v>
      </c>
      <c r="G62" s="38" t="s">
        <v>407</v>
      </c>
      <c r="H62" s="39" t="s">
        <v>494</v>
      </c>
      <c r="I62" s="39" t="s">
        <v>592</v>
      </c>
      <c r="J62" s="42">
        <v>1</v>
      </c>
      <c r="K62" s="15"/>
    </row>
    <row r="63" spans="1:11" s="47" customFormat="1" ht="16.5" customHeight="1" x14ac:dyDescent="0.2">
      <c r="A63" s="44" t="s">
        <v>73</v>
      </c>
      <c r="B63" s="44" t="s">
        <v>179</v>
      </c>
      <c r="C63" s="44"/>
      <c r="D63" s="50">
        <v>0.2</v>
      </c>
      <c r="E63" s="44" t="s">
        <v>259</v>
      </c>
      <c r="F63" s="44" t="s">
        <v>321</v>
      </c>
      <c r="G63" s="44" t="s">
        <v>407</v>
      </c>
      <c r="H63" s="44" t="s">
        <v>495</v>
      </c>
      <c r="I63" s="44" t="s">
        <v>592</v>
      </c>
      <c r="J63" s="45">
        <v>2</v>
      </c>
      <c r="K63" s="46"/>
    </row>
    <row r="64" spans="1:11" s="47" customFormat="1" ht="16.5" customHeight="1" x14ac:dyDescent="0.2">
      <c r="A64" s="38" t="s">
        <v>74</v>
      </c>
      <c r="B64" s="38" t="s">
        <v>180</v>
      </c>
      <c r="C64" s="38"/>
      <c r="D64" s="51">
        <v>0.2</v>
      </c>
      <c r="E64" s="38" t="s">
        <v>257</v>
      </c>
      <c r="F64" s="38" t="s">
        <v>322</v>
      </c>
      <c r="G64" s="38" t="s">
        <v>426</v>
      </c>
      <c r="H64" s="39" t="s">
        <v>496</v>
      </c>
      <c r="I64" s="39" t="s">
        <v>589</v>
      </c>
      <c r="J64" s="42">
        <v>1</v>
      </c>
      <c r="K64" s="15"/>
    </row>
    <row r="65" spans="1:11" s="47" customFormat="1" ht="16.5" customHeight="1" x14ac:dyDescent="0.2">
      <c r="A65" s="44" t="s">
        <v>75</v>
      </c>
      <c r="B65" s="44" t="s">
        <v>181</v>
      </c>
      <c r="C65" s="44"/>
      <c r="D65" s="44"/>
      <c r="E65" s="44" t="s">
        <v>249</v>
      </c>
      <c r="F65" s="44" t="s">
        <v>323</v>
      </c>
      <c r="G65" s="44" t="s">
        <v>403</v>
      </c>
      <c r="H65" s="44" t="s">
        <v>497</v>
      </c>
      <c r="I65" s="44" t="s">
        <v>580</v>
      </c>
      <c r="J65" s="45">
        <v>2</v>
      </c>
      <c r="K65" s="46"/>
    </row>
    <row r="66" spans="1:11" s="47" customFormat="1" ht="16.5" customHeight="1" x14ac:dyDescent="0.2">
      <c r="A66" s="38" t="s">
        <v>76</v>
      </c>
      <c r="B66" s="38" t="s">
        <v>182</v>
      </c>
      <c r="C66" s="38"/>
      <c r="D66" s="51">
        <v>0.2</v>
      </c>
      <c r="E66" s="38" t="s">
        <v>257</v>
      </c>
      <c r="F66" s="38" t="s">
        <v>324</v>
      </c>
      <c r="G66" s="38" t="s">
        <v>427</v>
      </c>
      <c r="H66" s="39" t="s">
        <v>498</v>
      </c>
      <c r="I66" s="39" t="s">
        <v>589</v>
      </c>
      <c r="J66" s="42">
        <v>2</v>
      </c>
      <c r="K66" s="15"/>
    </row>
    <row r="67" spans="1:11" s="47" customFormat="1" ht="16.5" customHeight="1" x14ac:dyDescent="0.2">
      <c r="A67" s="44" t="s">
        <v>77</v>
      </c>
      <c r="B67" s="44" t="s">
        <v>183</v>
      </c>
      <c r="C67" s="44"/>
      <c r="D67" s="44"/>
      <c r="E67" s="44" t="s">
        <v>252</v>
      </c>
      <c r="F67" s="44" t="s">
        <v>325</v>
      </c>
      <c r="G67" s="44" t="s">
        <v>428</v>
      </c>
      <c r="H67" s="44" t="s">
        <v>499</v>
      </c>
      <c r="I67" s="44" t="s">
        <v>592</v>
      </c>
      <c r="J67" s="45">
        <v>1</v>
      </c>
      <c r="K67" s="46"/>
    </row>
    <row r="68" spans="1:11" s="47" customFormat="1" ht="16.5" customHeight="1" x14ac:dyDescent="0.2">
      <c r="A68" s="38" t="s">
        <v>78</v>
      </c>
      <c r="B68" s="38" t="s">
        <v>184</v>
      </c>
      <c r="C68" s="38"/>
      <c r="D68" s="51">
        <v>0.2</v>
      </c>
      <c r="E68" s="38" t="s">
        <v>257</v>
      </c>
      <c r="F68" s="38" t="s">
        <v>324</v>
      </c>
      <c r="G68" s="38" t="s">
        <v>427</v>
      </c>
      <c r="H68" s="39" t="s">
        <v>500</v>
      </c>
      <c r="I68" s="39" t="s">
        <v>589</v>
      </c>
      <c r="J68" s="42">
        <v>1</v>
      </c>
      <c r="K68" s="15"/>
    </row>
    <row r="69" spans="1:11" s="47" customFormat="1" ht="16.5" customHeight="1" x14ac:dyDescent="0.2">
      <c r="A69" s="44" t="s">
        <v>79</v>
      </c>
      <c r="B69" s="44" t="s">
        <v>185</v>
      </c>
      <c r="C69" s="44"/>
      <c r="D69" s="50">
        <v>0.2</v>
      </c>
      <c r="E69" s="44" t="s">
        <v>259</v>
      </c>
      <c r="F69" s="44" t="s">
        <v>326</v>
      </c>
      <c r="G69" s="44" t="s">
        <v>426</v>
      </c>
      <c r="H69" s="44" t="s">
        <v>501</v>
      </c>
      <c r="I69" s="44" t="s">
        <v>592</v>
      </c>
      <c r="J69" s="45">
        <v>2</v>
      </c>
      <c r="K69" s="46"/>
    </row>
    <row r="70" spans="1:11" s="47" customFormat="1" ht="16.5" customHeight="1" x14ac:dyDescent="0.2">
      <c r="A70" s="38" t="s">
        <v>80</v>
      </c>
      <c r="B70" s="38" t="s">
        <v>186</v>
      </c>
      <c r="C70" s="38" t="s">
        <v>225</v>
      </c>
      <c r="D70" s="51">
        <v>0.01</v>
      </c>
      <c r="E70" s="38" t="s">
        <v>260</v>
      </c>
      <c r="F70" s="38" t="s">
        <v>327</v>
      </c>
      <c r="G70" s="38" t="s">
        <v>403</v>
      </c>
      <c r="H70" s="39" t="s">
        <v>502</v>
      </c>
      <c r="I70" s="39" t="s">
        <v>577</v>
      </c>
      <c r="J70" s="42">
        <v>10</v>
      </c>
      <c r="K70" s="15"/>
    </row>
    <row r="71" spans="1:11" s="47" customFormat="1" ht="16.5" customHeight="1" x14ac:dyDescent="0.2">
      <c r="A71" s="44" t="s">
        <v>81</v>
      </c>
      <c r="B71" s="44" t="s">
        <v>187</v>
      </c>
      <c r="C71" s="44" t="s">
        <v>225</v>
      </c>
      <c r="D71" s="50">
        <v>0.01</v>
      </c>
      <c r="E71" s="44" t="s">
        <v>260</v>
      </c>
      <c r="F71" s="44" t="s">
        <v>328</v>
      </c>
      <c r="G71" s="44" t="s">
        <v>403</v>
      </c>
      <c r="H71" s="44" t="s">
        <v>503</v>
      </c>
      <c r="I71" s="44" t="s">
        <v>577</v>
      </c>
      <c r="J71" s="45">
        <v>7</v>
      </c>
      <c r="K71" s="46"/>
    </row>
    <row r="72" spans="1:11" s="47" customFormat="1" ht="16.5" customHeight="1" x14ac:dyDescent="0.2">
      <c r="A72" s="38" t="s">
        <v>82</v>
      </c>
      <c r="B72" s="38" t="s">
        <v>188</v>
      </c>
      <c r="C72" s="38" t="s">
        <v>225</v>
      </c>
      <c r="D72" s="51">
        <v>0.01</v>
      </c>
      <c r="E72" s="38" t="s">
        <v>260</v>
      </c>
      <c r="F72" s="38" t="s">
        <v>329</v>
      </c>
      <c r="G72" s="38" t="s">
        <v>403</v>
      </c>
      <c r="H72" s="39" t="s">
        <v>504</v>
      </c>
      <c r="I72" s="39" t="s">
        <v>577</v>
      </c>
      <c r="J72" s="42">
        <v>74</v>
      </c>
      <c r="K72" s="15"/>
    </row>
    <row r="73" spans="1:11" s="47" customFormat="1" ht="16.5" customHeight="1" x14ac:dyDescent="0.2">
      <c r="A73" s="44" t="s">
        <v>83</v>
      </c>
      <c r="B73" s="44">
        <v>0</v>
      </c>
      <c r="C73" s="44" t="s">
        <v>225</v>
      </c>
      <c r="D73" s="50">
        <v>0.01</v>
      </c>
      <c r="E73" s="44" t="s">
        <v>260</v>
      </c>
      <c r="F73" s="44" t="s">
        <v>330</v>
      </c>
      <c r="G73" s="44" t="s">
        <v>403</v>
      </c>
      <c r="H73" s="44" t="s">
        <v>505</v>
      </c>
      <c r="I73" s="44" t="s">
        <v>577</v>
      </c>
      <c r="J73" s="45">
        <v>7</v>
      </c>
      <c r="K73" s="46"/>
    </row>
    <row r="74" spans="1:11" s="47" customFormat="1" ht="16.5" customHeight="1" x14ac:dyDescent="0.2">
      <c r="A74" s="38" t="s">
        <v>84</v>
      </c>
      <c r="B74" s="38" t="s">
        <v>189</v>
      </c>
      <c r="C74" s="38" t="s">
        <v>225</v>
      </c>
      <c r="D74" s="51">
        <v>0.01</v>
      </c>
      <c r="E74" s="38" t="s">
        <v>260</v>
      </c>
      <c r="F74" s="38" t="s">
        <v>331</v>
      </c>
      <c r="G74" s="38" t="s">
        <v>403</v>
      </c>
      <c r="H74" s="39" t="s">
        <v>506</v>
      </c>
      <c r="I74" s="39" t="s">
        <v>577</v>
      </c>
      <c r="J74" s="42">
        <v>2</v>
      </c>
      <c r="K74" s="15"/>
    </row>
    <row r="75" spans="1:11" s="47" customFormat="1" ht="16.5" customHeight="1" x14ac:dyDescent="0.2">
      <c r="A75" s="44" t="s">
        <v>85</v>
      </c>
      <c r="B75" s="44">
        <v>33</v>
      </c>
      <c r="C75" s="44" t="s">
        <v>225</v>
      </c>
      <c r="D75" s="50">
        <v>0.01</v>
      </c>
      <c r="E75" s="44" t="s">
        <v>260</v>
      </c>
      <c r="F75" s="44" t="s">
        <v>332</v>
      </c>
      <c r="G75" s="44" t="s">
        <v>403</v>
      </c>
      <c r="H75" s="44" t="s">
        <v>507</v>
      </c>
      <c r="I75" s="44" t="s">
        <v>577</v>
      </c>
      <c r="J75" s="45">
        <v>14</v>
      </c>
      <c r="K75" s="46"/>
    </row>
    <row r="76" spans="1:11" s="47" customFormat="1" ht="16.5" customHeight="1" x14ac:dyDescent="0.2">
      <c r="A76" s="38" t="s">
        <v>86</v>
      </c>
      <c r="B76" s="38">
        <v>549</v>
      </c>
      <c r="C76" s="38" t="s">
        <v>226</v>
      </c>
      <c r="D76" s="51">
        <v>0.01</v>
      </c>
      <c r="E76" s="38" t="s">
        <v>260</v>
      </c>
      <c r="F76" s="38" t="s">
        <v>333</v>
      </c>
      <c r="G76" s="38" t="s">
        <v>405</v>
      </c>
      <c r="H76" s="39" t="s">
        <v>508</v>
      </c>
      <c r="I76" s="39" t="s">
        <v>577</v>
      </c>
      <c r="J76" s="42">
        <v>4</v>
      </c>
      <c r="K76" s="15"/>
    </row>
    <row r="77" spans="1:11" s="47" customFormat="1" ht="16.5" customHeight="1" x14ac:dyDescent="0.2">
      <c r="A77" s="44" t="s">
        <v>87</v>
      </c>
      <c r="B77" s="44">
        <v>133</v>
      </c>
      <c r="C77" s="44" t="s">
        <v>226</v>
      </c>
      <c r="D77" s="50">
        <v>0.01</v>
      </c>
      <c r="E77" s="44" t="s">
        <v>260</v>
      </c>
      <c r="F77" s="44" t="s">
        <v>334</v>
      </c>
      <c r="G77" s="44" t="s">
        <v>405</v>
      </c>
      <c r="H77" s="44" t="s">
        <v>509</v>
      </c>
      <c r="I77" s="44" t="s">
        <v>577</v>
      </c>
      <c r="J77" s="45">
        <v>2</v>
      </c>
      <c r="K77" s="46"/>
    </row>
    <row r="78" spans="1:11" s="47" customFormat="1" ht="16.5" customHeight="1" x14ac:dyDescent="0.2">
      <c r="A78" s="38" t="s">
        <v>88</v>
      </c>
      <c r="B78" s="38">
        <v>120</v>
      </c>
      <c r="C78" s="38" t="s">
        <v>226</v>
      </c>
      <c r="D78" s="51">
        <v>0.01</v>
      </c>
      <c r="E78" s="38" t="s">
        <v>260</v>
      </c>
      <c r="F78" s="38" t="s">
        <v>335</v>
      </c>
      <c r="G78" s="38" t="s">
        <v>405</v>
      </c>
      <c r="H78" s="39" t="s">
        <v>510</v>
      </c>
      <c r="I78" s="39" t="s">
        <v>577</v>
      </c>
      <c r="J78" s="42">
        <v>9</v>
      </c>
      <c r="K78" s="15"/>
    </row>
    <row r="79" spans="1:11" s="47" customFormat="1" ht="16.5" customHeight="1" x14ac:dyDescent="0.2">
      <c r="A79" s="44" t="s">
        <v>89</v>
      </c>
      <c r="B79" s="44" t="s">
        <v>186</v>
      </c>
      <c r="C79" s="44" t="s">
        <v>225</v>
      </c>
      <c r="D79" s="50">
        <v>0.05</v>
      </c>
      <c r="E79" s="44" t="s">
        <v>260</v>
      </c>
      <c r="F79" s="44" t="s">
        <v>336</v>
      </c>
      <c r="G79" s="44" t="s">
        <v>403</v>
      </c>
      <c r="H79" s="44" t="s">
        <v>511</v>
      </c>
      <c r="I79" s="44" t="s">
        <v>577</v>
      </c>
      <c r="J79" s="45">
        <v>2</v>
      </c>
      <c r="K79" s="46"/>
    </row>
    <row r="80" spans="1:11" s="47" customFormat="1" ht="16.5" customHeight="1" x14ac:dyDescent="0.2">
      <c r="A80" s="38" t="s">
        <v>90</v>
      </c>
      <c r="B80" s="38" t="s">
        <v>190</v>
      </c>
      <c r="C80" s="38" t="s">
        <v>225</v>
      </c>
      <c r="D80" s="51">
        <v>0.01</v>
      </c>
      <c r="E80" s="38" t="s">
        <v>260</v>
      </c>
      <c r="F80" s="38" t="s">
        <v>337</v>
      </c>
      <c r="G80" s="38" t="s">
        <v>403</v>
      </c>
      <c r="H80" s="39" t="s">
        <v>512</v>
      </c>
      <c r="I80" s="39" t="s">
        <v>577</v>
      </c>
      <c r="J80" s="42">
        <v>3</v>
      </c>
      <c r="K80" s="15"/>
    </row>
    <row r="81" spans="1:11" s="47" customFormat="1" ht="16.5" customHeight="1" x14ac:dyDescent="0.2">
      <c r="A81" s="44" t="s">
        <v>91</v>
      </c>
      <c r="B81" s="44" t="s">
        <v>191</v>
      </c>
      <c r="C81" s="44" t="s">
        <v>225</v>
      </c>
      <c r="D81" s="50">
        <v>0.01</v>
      </c>
      <c r="E81" s="44" t="s">
        <v>260</v>
      </c>
      <c r="F81" s="44" t="s">
        <v>338</v>
      </c>
      <c r="G81" s="44" t="s">
        <v>408</v>
      </c>
      <c r="H81" s="44" t="s">
        <v>513</v>
      </c>
      <c r="I81" s="44" t="s">
        <v>577</v>
      </c>
      <c r="J81" s="45">
        <v>4</v>
      </c>
      <c r="K81" s="46"/>
    </row>
    <row r="82" spans="1:11" s="47" customFormat="1" ht="16.5" customHeight="1" x14ac:dyDescent="0.2">
      <c r="A82" s="38" t="s">
        <v>92</v>
      </c>
      <c r="B82" s="38">
        <v>49.9</v>
      </c>
      <c r="C82" s="38" t="s">
        <v>225</v>
      </c>
      <c r="D82" s="51">
        <v>0.01</v>
      </c>
      <c r="E82" s="38" t="s">
        <v>260</v>
      </c>
      <c r="F82" s="38" t="s">
        <v>339</v>
      </c>
      <c r="G82" s="38" t="s">
        <v>403</v>
      </c>
      <c r="H82" s="39" t="s">
        <v>514</v>
      </c>
      <c r="I82" s="39" t="s">
        <v>577</v>
      </c>
      <c r="J82" s="42">
        <v>4</v>
      </c>
      <c r="K82" s="15"/>
    </row>
    <row r="83" spans="1:11" s="47" customFormat="1" ht="16.5" customHeight="1" x14ac:dyDescent="0.2">
      <c r="A83" s="44" t="s">
        <v>93</v>
      </c>
      <c r="B83" s="44" t="s">
        <v>192</v>
      </c>
      <c r="C83" s="44" t="s">
        <v>225</v>
      </c>
      <c r="D83" s="50">
        <v>0.01</v>
      </c>
      <c r="E83" s="44" t="s">
        <v>260</v>
      </c>
      <c r="F83" s="44" t="s">
        <v>340</v>
      </c>
      <c r="G83" s="44" t="s">
        <v>403</v>
      </c>
      <c r="H83" s="44" t="s">
        <v>515</v>
      </c>
      <c r="I83" s="44" t="s">
        <v>577</v>
      </c>
      <c r="J83" s="45">
        <v>1</v>
      </c>
      <c r="K83" s="46"/>
    </row>
    <row r="84" spans="1:11" s="47" customFormat="1" ht="16.5" customHeight="1" x14ac:dyDescent="0.2">
      <c r="A84" s="38" t="s">
        <v>94</v>
      </c>
      <c r="B84" s="38">
        <v>270</v>
      </c>
      <c r="C84" s="38" t="s">
        <v>225</v>
      </c>
      <c r="D84" s="51">
        <v>0.01</v>
      </c>
      <c r="E84" s="38" t="s">
        <v>260</v>
      </c>
      <c r="F84" s="38" t="s">
        <v>341</v>
      </c>
      <c r="G84" s="38" t="s">
        <v>403</v>
      </c>
      <c r="H84" s="39" t="s">
        <v>516</v>
      </c>
      <c r="I84" s="39" t="s">
        <v>577</v>
      </c>
      <c r="J84" s="42">
        <v>2</v>
      </c>
      <c r="K84" s="15"/>
    </row>
    <row r="85" spans="1:11" s="47" customFormat="1" ht="16.5" customHeight="1" x14ac:dyDescent="0.2">
      <c r="A85" s="44" t="s">
        <v>95</v>
      </c>
      <c r="B85" s="44" t="s">
        <v>193</v>
      </c>
      <c r="C85" s="44" t="s">
        <v>226</v>
      </c>
      <c r="D85" s="50">
        <v>0.05</v>
      </c>
      <c r="E85" s="44" t="s">
        <v>260</v>
      </c>
      <c r="F85" s="44" t="s">
        <v>342</v>
      </c>
      <c r="G85" s="44" t="s">
        <v>405</v>
      </c>
      <c r="H85" s="44" t="s">
        <v>517</v>
      </c>
      <c r="I85" s="44" t="s">
        <v>577</v>
      </c>
      <c r="J85" s="45">
        <v>1</v>
      </c>
      <c r="K85" s="46"/>
    </row>
    <row r="86" spans="1:11" s="47" customFormat="1" ht="16.5" customHeight="1" x14ac:dyDescent="0.2">
      <c r="A86" s="38" t="s">
        <v>96</v>
      </c>
      <c r="B86" s="38" t="s">
        <v>194</v>
      </c>
      <c r="C86" s="38" t="s">
        <v>225</v>
      </c>
      <c r="D86" s="51">
        <v>0.01</v>
      </c>
      <c r="E86" s="38" t="s">
        <v>260</v>
      </c>
      <c r="F86" s="38" t="s">
        <v>343</v>
      </c>
      <c r="G86" s="38" t="s">
        <v>403</v>
      </c>
      <c r="H86" s="39" t="s">
        <v>518</v>
      </c>
      <c r="I86" s="39" t="s">
        <v>577</v>
      </c>
      <c r="J86" s="42">
        <v>2</v>
      </c>
      <c r="K86" s="15"/>
    </row>
    <row r="87" spans="1:11" s="47" customFormat="1" ht="16.5" customHeight="1" x14ac:dyDescent="0.2">
      <c r="A87" s="44" t="s">
        <v>97</v>
      </c>
      <c r="B87" s="44">
        <v>45.3</v>
      </c>
      <c r="C87" s="44" t="s">
        <v>225</v>
      </c>
      <c r="D87" s="50">
        <v>0.01</v>
      </c>
      <c r="E87" s="44" t="s">
        <v>260</v>
      </c>
      <c r="F87" s="44" t="s">
        <v>344</v>
      </c>
      <c r="G87" s="44" t="s">
        <v>403</v>
      </c>
      <c r="H87" s="44" t="s">
        <v>519</v>
      </c>
      <c r="I87" s="44" t="s">
        <v>577</v>
      </c>
      <c r="J87" s="45">
        <v>1</v>
      </c>
      <c r="K87" s="46"/>
    </row>
    <row r="88" spans="1:11" s="47" customFormat="1" ht="16.5" customHeight="1" x14ac:dyDescent="0.2">
      <c r="A88" s="38" t="s">
        <v>98</v>
      </c>
      <c r="B88" s="38">
        <v>10</v>
      </c>
      <c r="C88" s="38" t="s">
        <v>226</v>
      </c>
      <c r="D88" s="51">
        <v>0.01</v>
      </c>
      <c r="E88" s="38" t="s">
        <v>260</v>
      </c>
      <c r="F88" s="38" t="s">
        <v>345</v>
      </c>
      <c r="G88" s="38" t="s">
        <v>405</v>
      </c>
      <c r="H88" s="39" t="s">
        <v>520</v>
      </c>
      <c r="I88" s="39" t="s">
        <v>577</v>
      </c>
      <c r="J88" s="42">
        <v>1</v>
      </c>
      <c r="K88" s="15"/>
    </row>
    <row r="89" spans="1:11" s="47" customFormat="1" ht="16.5" customHeight="1" x14ac:dyDescent="0.2">
      <c r="A89" s="44" t="s">
        <v>99</v>
      </c>
      <c r="B89" s="44">
        <v>24</v>
      </c>
      <c r="C89" s="44" t="s">
        <v>225</v>
      </c>
      <c r="D89" s="50">
        <v>0.05</v>
      </c>
      <c r="E89" s="44" t="s">
        <v>260</v>
      </c>
      <c r="F89" s="44" t="s">
        <v>346</v>
      </c>
      <c r="G89" s="44" t="s">
        <v>408</v>
      </c>
      <c r="H89" s="44" t="s">
        <v>521</v>
      </c>
      <c r="I89" s="44" t="s">
        <v>577</v>
      </c>
      <c r="J89" s="45">
        <v>1</v>
      </c>
      <c r="K89" s="46"/>
    </row>
    <row r="90" spans="1:11" s="47" customFormat="1" ht="16.5" customHeight="1" x14ac:dyDescent="0.2">
      <c r="A90" s="38" t="s">
        <v>100</v>
      </c>
      <c r="B90" s="38" t="s">
        <v>195</v>
      </c>
      <c r="C90" s="38" t="s">
        <v>225</v>
      </c>
      <c r="D90" s="51">
        <v>0.01</v>
      </c>
      <c r="E90" s="38" t="s">
        <v>260</v>
      </c>
      <c r="F90" s="38" t="s">
        <v>347</v>
      </c>
      <c r="G90" s="38" t="s">
        <v>403</v>
      </c>
      <c r="H90" s="39" t="s">
        <v>522</v>
      </c>
      <c r="I90" s="39" t="s">
        <v>577</v>
      </c>
      <c r="J90" s="42">
        <v>2</v>
      </c>
      <c r="K90" s="15"/>
    </row>
    <row r="91" spans="1:11" s="47" customFormat="1" ht="16.5" customHeight="1" x14ac:dyDescent="0.2">
      <c r="A91" s="44" t="s">
        <v>101</v>
      </c>
      <c r="B91" s="44" t="s">
        <v>196</v>
      </c>
      <c r="C91" s="44" t="s">
        <v>225</v>
      </c>
      <c r="D91" s="50">
        <v>0.01</v>
      </c>
      <c r="E91" s="44" t="s">
        <v>260</v>
      </c>
      <c r="F91" s="44" t="s">
        <v>348</v>
      </c>
      <c r="G91" s="44" t="s">
        <v>403</v>
      </c>
      <c r="H91" s="44" t="s">
        <v>523</v>
      </c>
      <c r="I91" s="44" t="s">
        <v>577</v>
      </c>
      <c r="J91" s="45">
        <v>1</v>
      </c>
      <c r="K91" s="46"/>
    </row>
    <row r="92" spans="1:11" s="47" customFormat="1" ht="16.5" customHeight="1" x14ac:dyDescent="0.2">
      <c r="A92" s="38" t="s">
        <v>102</v>
      </c>
      <c r="B92" s="38" t="s">
        <v>197</v>
      </c>
      <c r="C92" s="38" t="s">
        <v>225</v>
      </c>
      <c r="D92" s="51">
        <v>0.01</v>
      </c>
      <c r="E92" s="38" t="s">
        <v>260</v>
      </c>
      <c r="F92" s="38" t="s">
        <v>349</v>
      </c>
      <c r="G92" s="38" t="s">
        <v>403</v>
      </c>
      <c r="H92" s="39" t="s">
        <v>524</v>
      </c>
      <c r="I92" s="39" t="s">
        <v>577</v>
      </c>
      <c r="J92" s="42">
        <v>1</v>
      </c>
      <c r="K92" s="15"/>
    </row>
    <row r="93" spans="1:11" s="47" customFormat="1" ht="16.5" customHeight="1" x14ac:dyDescent="0.2">
      <c r="A93" s="44" t="s">
        <v>103</v>
      </c>
      <c r="B93" s="44" t="s">
        <v>198</v>
      </c>
      <c r="C93" s="44" t="s">
        <v>225</v>
      </c>
      <c r="D93" s="50">
        <v>0.01</v>
      </c>
      <c r="E93" s="44" t="s">
        <v>260</v>
      </c>
      <c r="F93" s="44" t="s">
        <v>350</v>
      </c>
      <c r="G93" s="44" t="s">
        <v>403</v>
      </c>
      <c r="H93" s="44" t="s">
        <v>525</v>
      </c>
      <c r="I93" s="44" t="s">
        <v>577</v>
      </c>
      <c r="J93" s="45">
        <v>1</v>
      </c>
      <c r="K93" s="46"/>
    </row>
    <row r="94" spans="1:11" s="47" customFormat="1" ht="16.5" customHeight="1" x14ac:dyDescent="0.2">
      <c r="A94" s="38" t="s">
        <v>104</v>
      </c>
      <c r="B94" s="38">
        <v>10</v>
      </c>
      <c r="C94" s="38" t="s">
        <v>225</v>
      </c>
      <c r="D94" s="51">
        <v>0.01</v>
      </c>
      <c r="E94" s="38" t="s">
        <v>260</v>
      </c>
      <c r="F94" s="38" t="s">
        <v>351</v>
      </c>
      <c r="G94" s="38" t="s">
        <v>403</v>
      </c>
      <c r="H94" s="39" t="s">
        <v>526</v>
      </c>
      <c r="I94" s="39" t="s">
        <v>577</v>
      </c>
      <c r="J94" s="42">
        <v>2</v>
      </c>
      <c r="K94" s="15"/>
    </row>
    <row r="95" spans="1:11" s="47" customFormat="1" ht="16.5" customHeight="1" x14ac:dyDescent="0.2">
      <c r="A95" s="44" t="s">
        <v>105</v>
      </c>
      <c r="B95" s="44" t="s">
        <v>199</v>
      </c>
      <c r="C95" s="44" t="s">
        <v>225</v>
      </c>
      <c r="D95" s="50">
        <v>0.01</v>
      </c>
      <c r="E95" s="44" t="s">
        <v>260</v>
      </c>
      <c r="F95" s="44" t="s">
        <v>352</v>
      </c>
      <c r="G95" s="44" t="s">
        <v>403</v>
      </c>
      <c r="H95" s="44" t="s">
        <v>527</v>
      </c>
      <c r="I95" s="44" t="s">
        <v>577</v>
      </c>
      <c r="J95" s="45">
        <v>1</v>
      </c>
      <c r="K95" s="46"/>
    </row>
    <row r="96" spans="1:11" s="47" customFormat="1" ht="16.5" customHeight="1" x14ac:dyDescent="0.2">
      <c r="A96" s="38" t="s">
        <v>106</v>
      </c>
      <c r="B96" s="38">
        <v>200</v>
      </c>
      <c r="C96" s="38" t="s">
        <v>227</v>
      </c>
      <c r="D96" s="51">
        <v>0.05</v>
      </c>
      <c r="E96" s="38" t="s">
        <v>260</v>
      </c>
      <c r="F96" s="38" t="s">
        <v>353</v>
      </c>
      <c r="G96" s="38" t="s">
        <v>429</v>
      </c>
      <c r="H96" s="39" t="s">
        <v>528</v>
      </c>
      <c r="I96" s="39" t="s">
        <v>589</v>
      </c>
      <c r="J96" s="42">
        <v>1</v>
      </c>
      <c r="K96" s="15"/>
    </row>
    <row r="97" spans="1:11" s="47" customFormat="1" ht="16.5" customHeight="1" x14ac:dyDescent="0.2">
      <c r="A97" s="44" t="s">
        <v>107</v>
      </c>
      <c r="B97" s="44" t="s">
        <v>200</v>
      </c>
      <c r="C97" s="44" t="s">
        <v>225</v>
      </c>
      <c r="D97" s="50">
        <v>0.01</v>
      </c>
      <c r="E97" s="44" t="s">
        <v>260</v>
      </c>
      <c r="F97" s="44" t="s">
        <v>354</v>
      </c>
      <c r="G97" s="44" t="s">
        <v>403</v>
      </c>
      <c r="H97" s="44" t="s">
        <v>529</v>
      </c>
      <c r="I97" s="44" t="s">
        <v>577</v>
      </c>
      <c r="J97" s="45">
        <v>2</v>
      </c>
      <c r="K97" s="46"/>
    </row>
    <row r="98" spans="1:11" s="47" customFormat="1" ht="16.5" customHeight="1" x14ac:dyDescent="0.2">
      <c r="A98" s="38" t="s">
        <v>108</v>
      </c>
      <c r="B98" s="38">
        <v>0.91</v>
      </c>
      <c r="C98" s="38"/>
      <c r="D98" s="51">
        <v>0.01</v>
      </c>
      <c r="E98" s="38" t="s">
        <v>260</v>
      </c>
      <c r="F98" s="38" t="s">
        <v>355</v>
      </c>
      <c r="G98" s="38" t="s">
        <v>408</v>
      </c>
      <c r="H98" s="39" t="s">
        <v>530</v>
      </c>
      <c r="I98" s="39" t="s">
        <v>577</v>
      </c>
      <c r="J98" s="42">
        <v>2</v>
      </c>
      <c r="K98" s="15"/>
    </row>
    <row r="99" spans="1:11" s="47" customFormat="1" ht="16.5" customHeight="1" x14ac:dyDescent="0.2">
      <c r="A99" s="44" t="s">
        <v>109</v>
      </c>
      <c r="B99" s="44" t="s">
        <v>201</v>
      </c>
      <c r="C99" s="44" t="s">
        <v>225</v>
      </c>
      <c r="D99" s="50">
        <v>0.01</v>
      </c>
      <c r="E99" s="44" t="s">
        <v>260</v>
      </c>
      <c r="F99" s="44" t="s">
        <v>356</v>
      </c>
      <c r="G99" s="44" t="s">
        <v>403</v>
      </c>
      <c r="H99" s="44" t="s">
        <v>531</v>
      </c>
      <c r="I99" s="44" t="s">
        <v>577</v>
      </c>
      <c r="J99" s="45">
        <v>1</v>
      </c>
      <c r="K99" s="46"/>
    </row>
    <row r="100" spans="1:11" s="47" customFormat="1" ht="16.5" customHeight="1" x14ac:dyDescent="0.2">
      <c r="A100" s="38" t="s">
        <v>110</v>
      </c>
      <c r="B100" s="38" t="s">
        <v>202</v>
      </c>
      <c r="C100" s="38" t="s">
        <v>225</v>
      </c>
      <c r="D100" s="51">
        <v>0.01</v>
      </c>
      <c r="E100" s="38" t="s">
        <v>260</v>
      </c>
      <c r="F100" s="38" t="s">
        <v>357</v>
      </c>
      <c r="G100" s="38" t="s">
        <v>403</v>
      </c>
      <c r="H100" s="39" t="s">
        <v>532</v>
      </c>
      <c r="I100" s="39" t="s">
        <v>577</v>
      </c>
      <c r="J100" s="42">
        <v>1</v>
      </c>
      <c r="K100" s="15"/>
    </row>
    <row r="101" spans="1:11" s="47" customFormat="1" ht="16.5" customHeight="1" x14ac:dyDescent="0.2">
      <c r="A101" s="44" t="s">
        <v>111</v>
      </c>
      <c r="B101" s="44" t="s">
        <v>203</v>
      </c>
      <c r="C101" s="44" t="s">
        <v>225</v>
      </c>
      <c r="D101" s="50">
        <v>0.01</v>
      </c>
      <c r="E101" s="44" t="s">
        <v>260</v>
      </c>
      <c r="F101" s="44" t="s">
        <v>358</v>
      </c>
      <c r="G101" s="44" t="s">
        <v>403</v>
      </c>
      <c r="H101" s="44" t="s">
        <v>533</v>
      </c>
      <c r="I101" s="44" t="s">
        <v>577</v>
      </c>
      <c r="J101" s="45">
        <v>1</v>
      </c>
      <c r="K101" s="46"/>
    </row>
    <row r="102" spans="1:11" s="47" customFormat="1" ht="16.5" customHeight="1" x14ac:dyDescent="0.2">
      <c r="A102" s="38" t="s">
        <v>112</v>
      </c>
      <c r="B102" s="38" t="s">
        <v>204</v>
      </c>
      <c r="C102" s="38" t="s">
        <v>225</v>
      </c>
      <c r="D102" s="51">
        <v>0.01</v>
      </c>
      <c r="E102" s="38" t="s">
        <v>260</v>
      </c>
      <c r="F102" s="38" t="s">
        <v>359</v>
      </c>
      <c r="G102" s="38" t="s">
        <v>403</v>
      </c>
      <c r="H102" s="39" t="s">
        <v>534</v>
      </c>
      <c r="I102" s="39" t="s">
        <v>577</v>
      </c>
      <c r="J102" s="42">
        <v>5</v>
      </c>
      <c r="K102" s="15"/>
    </row>
    <row r="103" spans="1:11" s="47" customFormat="1" ht="16.5" customHeight="1" x14ac:dyDescent="0.2">
      <c r="A103" s="44" t="s">
        <v>113</v>
      </c>
      <c r="B103" s="44" t="s">
        <v>205</v>
      </c>
      <c r="C103" s="44" t="s">
        <v>225</v>
      </c>
      <c r="D103" s="50">
        <v>0.01</v>
      </c>
      <c r="E103" s="44" t="s">
        <v>260</v>
      </c>
      <c r="F103" s="44" t="s">
        <v>360</v>
      </c>
      <c r="G103" s="44" t="s">
        <v>403</v>
      </c>
      <c r="H103" s="44" t="s">
        <v>535</v>
      </c>
      <c r="I103" s="44" t="s">
        <v>577</v>
      </c>
      <c r="J103" s="45">
        <v>1</v>
      </c>
      <c r="K103" s="46"/>
    </row>
    <row r="104" spans="1:11" s="47" customFormat="1" ht="16.5" customHeight="1" x14ac:dyDescent="0.2">
      <c r="A104" s="38" t="s">
        <v>114</v>
      </c>
      <c r="B104" s="38" t="s">
        <v>206</v>
      </c>
      <c r="C104" s="38" t="s">
        <v>225</v>
      </c>
      <c r="D104" s="51">
        <v>0.01</v>
      </c>
      <c r="E104" s="38" t="s">
        <v>260</v>
      </c>
      <c r="F104" s="38" t="s">
        <v>361</v>
      </c>
      <c r="G104" s="38" t="s">
        <v>403</v>
      </c>
      <c r="H104" s="39" t="s">
        <v>536</v>
      </c>
      <c r="I104" s="39" t="s">
        <v>577</v>
      </c>
      <c r="J104" s="42">
        <v>1</v>
      </c>
      <c r="K104" s="15"/>
    </row>
    <row r="105" spans="1:11" s="47" customFormat="1" ht="16.5" customHeight="1" x14ac:dyDescent="0.2">
      <c r="A105" s="44" t="s">
        <v>115</v>
      </c>
      <c r="B105" s="44">
        <v>4.99</v>
      </c>
      <c r="C105" s="44" t="s">
        <v>225</v>
      </c>
      <c r="D105" s="50">
        <v>0.01</v>
      </c>
      <c r="E105" s="44" t="s">
        <v>260</v>
      </c>
      <c r="F105" s="44" t="s">
        <v>362</v>
      </c>
      <c r="G105" s="44" t="s">
        <v>403</v>
      </c>
      <c r="H105" s="44" t="s">
        <v>537</v>
      </c>
      <c r="I105" s="44" t="s">
        <v>577</v>
      </c>
      <c r="J105" s="45">
        <v>1</v>
      </c>
      <c r="K105" s="46"/>
    </row>
    <row r="106" spans="1:11" s="47" customFormat="1" ht="16.5" customHeight="1" x14ac:dyDescent="0.2">
      <c r="A106" s="38" t="s">
        <v>116</v>
      </c>
      <c r="B106" s="38" t="s">
        <v>207</v>
      </c>
      <c r="C106" s="38" t="s">
        <v>225</v>
      </c>
      <c r="D106" s="51">
        <v>0.01</v>
      </c>
      <c r="E106" s="38" t="s">
        <v>260</v>
      </c>
      <c r="F106" s="38" t="s">
        <v>363</v>
      </c>
      <c r="G106" s="38" t="s">
        <v>403</v>
      </c>
      <c r="H106" s="39" t="s">
        <v>538</v>
      </c>
      <c r="I106" s="39" t="s">
        <v>577</v>
      </c>
      <c r="J106" s="42">
        <v>1</v>
      </c>
      <c r="K106" s="15"/>
    </row>
    <row r="107" spans="1:11" s="47" customFormat="1" ht="16.5" customHeight="1" x14ac:dyDescent="0.2">
      <c r="A107" s="44" t="s">
        <v>117</v>
      </c>
      <c r="B107" s="44">
        <v>732</v>
      </c>
      <c r="C107" s="44" t="s">
        <v>225</v>
      </c>
      <c r="D107" s="50">
        <v>0.01</v>
      </c>
      <c r="E107" s="44" t="s">
        <v>260</v>
      </c>
      <c r="F107" s="44" t="s">
        <v>364</v>
      </c>
      <c r="G107" s="44" t="s">
        <v>403</v>
      </c>
      <c r="H107" s="44" t="s">
        <v>539</v>
      </c>
      <c r="I107" s="44" t="s">
        <v>577</v>
      </c>
      <c r="J107" s="45">
        <v>1</v>
      </c>
      <c r="K107" s="46"/>
    </row>
    <row r="108" spans="1:11" s="47" customFormat="1" ht="16.5" customHeight="1" x14ac:dyDescent="0.2">
      <c r="A108" s="38" t="s">
        <v>118</v>
      </c>
      <c r="B108" s="38" t="s">
        <v>208</v>
      </c>
      <c r="C108" s="38" t="s">
        <v>225</v>
      </c>
      <c r="D108" s="51">
        <v>0.01</v>
      </c>
      <c r="E108" s="38" t="s">
        <v>260</v>
      </c>
      <c r="F108" s="38" t="s">
        <v>365</v>
      </c>
      <c r="G108" s="38" t="s">
        <v>403</v>
      </c>
      <c r="H108" s="39" t="s">
        <v>540</v>
      </c>
      <c r="I108" s="39" t="s">
        <v>577</v>
      </c>
      <c r="J108" s="42">
        <v>1</v>
      </c>
      <c r="K108" s="15"/>
    </row>
    <row r="109" spans="1:11" s="47" customFormat="1" ht="16.5" customHeight="1" x14ac:dyDescent="0.2">
      <c r="A109" s="44" t="s">
        <v>119</v>
      </c>
      <c r="B109" s="44" t="s">
        <v>209</v>
      </c>
      <c r="C109" s="44" t="s">
        <v>225</v>
      </c>
      <c r="D109" s="50">
        <v>0.01</v>
      </c>
      <c r="E109" s="44" t="s">
        <v>260</v>
      </c>
      <c r="F109" s="44" t="s">
        <v>366</v>
      </c>
      <c r="G109" s="44" t="s">
        <v>403</v>
      </c>
      <c r="H109" s="44" t="s">
        <v>541</v>
      </c>
      <c r="I109" s="44" t="s">
        <v>577</v>
      </c>
      <c r="J109" s="45">
        <v>1</v>
      </c>
      <c r="K109" s="46"/>
    </row>
    <row r="110" spans="1:11" s="47" customFormat="1" ht="16.5" customHeight="1" x14ac:dyDescent="0.2">
      <c r="A110" s="38" t="s">
        <v>120</v>
      </c>
      <c r="B110" s="38" t="s">
        <v>210</v>
      </c>
      <c r="C110" s="38" t="s">
        <v>225</v>
      </c>
      <c r="D110" s="51">
        <v>0.01</v>
      </c>
      <c r="E110" s="38" t="s">
        <v>260</v>
      </c>
      <c r="F110" s="38" t="s">
        <v>367</v>
      </c>
      <c r="G110" s="38" t="s">
        <v>403</v>
      </c>
      <c r="H110" s="39" t="s">
        <v>542</v>
      </c>
      <c r="I110" s="39" t="s">
        <v>577</v>
      </c>
      <c r="J110" s="42">
        <v>1</v>
      </c>
      <c r="K110" s="15"/>
    </row>
    <row r="111" spans="1:11" s="47" customFormat="1" ht="16.5" customHeight="1" x14ac:dyDescent="0.2">
      <c r="A111" s="44" t="s">
        <v>121</v>
      </c>
      <c r="B111" s="44" t="s">
        <v>211</v>
      </c>
      <c r="C111" s="44" t="s">
        <v>225</v>
      </c>
      <c r="D111" s="50">
        <v>0.01</v>
      </c>
      <c r="E111" s="44" t="s">
        <v>260</v>
      </c>
      <c r="F111" s="44" t="s">
        <v>368</v>
      </c>
      <c r="G111" s="44" t="s">
        <v>403</v>
      </c>
      <c r="H111" s="44" t="s">
        <v>543</v>
      </c>
      <c r="I111" s="44" t="s">
        <v>577</v>
      </c>
      <c r="J111" s="45">
        <v>1</v>
      </c>
      <c r="K111" s="46"/>
    </row>
    <row r="112" spans="1:11" s="47" customFormat="1" ht="16.5" customHeight="1" x14ac:dyDescent="0.2">
      <c r="A112" s="38" t="s">
        <v>122</v>
      </c>
      <c r="B112" s="38" t="s">
        <v>212</v>
      </c>
      <c r="C112" s="38" t="s">
        <v>225</v>
      </c>
      <c r="D112" s="51">
        <v>0.01</v>
      </c>
      <c r="E112" s="38" t="s">
        <v>260</v>
      </c>
      <c r="F112" s="38" t="s">
        <v>369</v>
      </c>
      <c r="G112" s="38" t="s">
        <v>403</v>
      </c>
      <c r="H112" s="39" t="s">
        <v>544</v>
      </c>
      <c r="I112" s="39" t="s">
        <v>577</v>
      </c>
      <c r="J112" s="42">
        <v>1</v>
      </c>
      <c r="K112" s="15"/>
    </row>
    <row r="113" spans="1:11" s="47" customFormat="1" ht="16.5" customHeight="1" x14ac:dyDescent="0.2">
      <c r="A113" s="44" t="s">
        <v>123</v>
      </c>
      <c r="B113" s="44"/>
      <c r="C113" s="44"/>
      <c r="D113" s="44"/>
      <c r="E113" s="44" t="s">
        <v>257</v>
      </c>
      <c r="F113" s="44" t="s">
        <v>370</v>
      </c>
      <c r="G113" s="44" t="s">
        <v>430</v>
      </c>
      <c r="H113" s="44">
        <v>7491199112</v>
      </c>
      <c r="I113" s="44" t="s">
        <v>593</v>
      </c>
      <c r="J113" s="45">
        <v>1</v>
      </c>
      <c r="K113" s="46"/>
    </row>
    <row r="114" spans="1:11" s="47" customFormat="1" ht="16.5" customHeight="1" x14ac:dyDescent="0.2">
      <c r="A114" s="38" t="s">
        <v>124</v>
      </c>
      <c r="B114" s="38"/>
      <c r="C114" s="38"/>
      <c r="D114" s="38"/>
      <c r="E114" s="38" t="s">
        <v>252</v>
      </c>
      <c r="F114" s="38" t="s">
        <v>371</v>
      </c>
      <c r="G114" s="38"/>
      <c r="H114" s="39" t="s">
        <v>545</v>
      </c>
      <c r="I114" s="39" t="s">
        <v>594</v>
      </c>
      <c r="J114" s="42">
        <v>1</v>
      </c>
      <c r="K114" s="15"/>
    </row>
    <row r="115" spans="1:11" s="47" customFormat="1" ht="16.5" customHeight="1" x14ac:dyDescent="0.2">
      <c r="A115" s="44" t="s">
        <v>125</v>
      </c>
      <c r="B115" s="44"/>
      <c r="C115" s="44" t="s">
        <v>228</v>
      </c>
      <c r="D115" s="44"/>
      <c r="E115" s="44" t="s">
        <v>261</v>
      </c>
      <c r="F115" s="44" t="s">
        <v>372</v>
      </c>
      <c r="G115" s="44" t="s">
        <v>431</v>
      </c>
      <c r="H115" s="44" t="s">
        <v>546</v>
      </c>
      <c r="I115" s="44" t="s">
        <v>584</v>
      </c>
      <c r="J115" s="45">
        <v>28</v>
      </c>
      <c r="K115" s="46"/>
    </row>
    <row r="116" spans="1:11" s="47" customFormat="1" ht="16.5" customHeight="1" x14ac:dyDescent="0.2">
      <c r="A116" s="38" t="s">
        <v>126</v>
      </c>
      <c r="B116" s="38"/>
      <c r="C116" s="38" t="s">
        <v>229</v>
      </c>
      <c r="D116" s="38"/>
      <c r="E116" s="38" t="s">
        <v>261</v>
      </c>
      <c r="F116" s="38" t="s">
        <v>373</v>
      </c>
      <c r="G116" s="38" t="s">
        <v>431</v>
      </c>
      <c r="H116" s="39" t="s">
        <v>547</v>
      </c>
      <c r="I116" s="39" t="s">
        <v>584</v>
      </c>
      <c r="J116" s="42">
        <v>13</v>
      </c>
      <c r="K116" s="15"/>
    </row>
    <row r="117" spans="1:11" s="47" customFormat="1" ht="16.5" customHeight="1" x14ac:dyDescent="0.2">
      <c r="A117" s="44" t="s">
        <v>127</v>
      </c>
      <c r="B117" s="44"/>
      <c r="C117" s="44" t="s">
        <v>230</v>
      </c>
      <c r="D117" s="44"/>
      <c r="E117" s="44" t="s">
        <v>254</v>
      </c>
      <c r="F117" s="44" t="s">
        <v>374</v>
      </c>
      <c r="G117" s="44" t="s">
        <v>432</v>
      </c>
      <c r="H117" s="44" t="s">
        <v>548</v>
      </c>
      <c r="I117" s="44" t="s">
        <v>584</v>
      </c>
      <c r="J117" s="45">
        <v>5</v>
      </c>
      <c r="K117" s="46"/>
    </row>
    <row r="118" spans="1:11" s="47" customFormat="1" ht="16.5" customHeight="1" x14ac:dyDescent="0.2">
      <c r="A118" s="38" t="s">
        <v>128</v>
      </c>
      <c r="B118" s="38"/>
      <c r="C118" s="38" t="s">
        <v>227</v>
      </c>
      <c r="D118" s="38"/>
      <c r="E118" s="38" t="s">
        <v>262</v>
      </c>
      <c r="F118" s="38" t="s">
        <v>375</v>
      </c>
      <c r="G118" s="38" t="s">
        <v>433</v>
      </c>
      <c r="H118" s="39" t="s">
        <v>549</v>
      </c>
      <c r="I118" s="39" t="s">
        <v>595</v>
      </c>
      <c r="J118" s="42">
        <v>3</v>
      </c>
      <c r="K118" s="15"/>
    </row>
    <row r="119" spans="1:11" s="47" customFormat="1" ht="16.5" customHeight="1" x14ac:dyDescent="0.2">
      <c r="A119" s="44" t="s">
        <v>129</v>
      </c>
      <c r="B119" s="44"/>
      <c r="C119" s="44" t="s">
        <v>231</v>
      </c>
      <c r="D119" s="44"/>
      <c r="E119" s="44" t="s">
        <v>261</v>
      </c>
      <c r="F119" s="44" t="s">
        <v>376</v>
      </c>
      <c r="G119" s="44" t="s">
        <v>431</v>
      </c>
      <c r="H119" s="44" t="s">
        <v>550</v>
      </c>
      <c r="I119" s="44" t="s">
        <v>584</v>
      </c>
      <c r="J119" s="45">
        <v>2</v>
      </c>
      <c r="K119" s="46"/>
    </row>
    <row r="120" spans="1:11" s="47" customFormat="1" ht="16.5" customHeight="1" x14ac:dyDescent="0.2">
      <c r="A120" s="38" t="s">
        <v>130</v>
      </c>
      <c r="B120" s="38"/>
      <c r="C120" s="38" t="s">
        <v>219</v>
      </c>
      <c r="D120" s="38"/>
      <c r="E120" s="38" t="s">
        <v>263</v>
      </c>
      <c r="F120" s="38" t="s">
        <v>377</v>
      </c>
      <c r="G120" s="38" t="s">
        <v>434</v>
      </c>
      <c r="H120" s="39" t="s">
        <v>551</v>
      </c>
      <c r="I120" s="39" t="s">
        <v>586</v>
      </c>
      <c r="J120" s="42">
        <v>2</v>
      </c>
      <c r="K120" s="15"/>
    </row>
    <row r="121" spans="1:11" s="47" customFormat="1" ht="16.5" customHeight="1" x14ac:dyDescent="0.2">
      <c r="A121" s="44" t="s">
        <v>131</v>
      </c>
      <c r="B121" s="44"/>
      <c r="C121" s="44" t="s">
        <v>232</v>
      </c>
      <c r="D121" s="44"/>
      <c r="E121" s="44" t="s">
        <v>262</v>
      </c>
      <c r="F121" s="44" t="s">
        <v>378</v>
      </c>
      <c r="G121" s="44" t="s">
        <v>435</v>
      </c>
      <c r="H121" s="44" t="s">
        <v>552</v>
      </c>
      <c r="I121" s="44" t="s">
        <v>595</v>
      </c>
      <c r="J121" s="45">
        <v>4</v>
      </c>
      <c r="K121" s="46"/>
    </row>
    <row r="122" spans="1:11" s="47" customFormat="1" ht="16.5" customHeight="1" x14ac:dyDescent="0.2">
      <c r="A122" s="38" t="s">
        <v>132</v>
      </c>
      <c r="B122" s="38"/>
      <c r="C122" s="38" t="s">
        <v>233</v>
      </c>
      <c r="D122" s="38"/>
      <c r="E122" s="38" t="s">
        <v>253</v>
      </c>
      <c r="F122" s="38" t="s">
        <v>379</v>
      </c>
      <c r="G122" s="38" t="s">
        <v>432</v>
      </c>
      <c r="H122" s="39" t="s">
        <v>553</v>
      </c>
      <c r="I122" s="39" t="s">
        <v>584</v>
      </c>
      <c r="J122" s="42">
        <v>1</v>
      </c>
      <c r="K122" s="15"/>
    </row>
    <row r="123" spans="1:11" s="47" customFormat="1" ht="16.5" customHeight="1" x14ac:dyDescent="0.2">
      <c r="A123" s="44" t="s">
        <v>133</v>
      </c>
      <c r="B123" s="44"/>
      <c r="C123" s="44" t="s">
        <v>219</v>
      </c>
      <c r="D123" s="44"/>
      <c r="E123" s="44" t="s">
        <v>264</v>
      </c>
      <c r="F123" s="44" t="s">
        <v>380</v>
      </c>
      <c r="G123" s="44" t="s">
        <v>435</v>
      </c>
      <c r="H123" s="44" t="s">
        <v>554</v>
      </c>
      <c r="I123" s="44" t="s">
        <v>596</v>
      </c>
      <c r="J123" s="45">
        <v>4</v>
      </c>
      <c r="K123" s="46"/>
    </row>
    <row r="124" spans="1:11" s="47" customFormat="1" ht="16.5" customHeight="1" x14ac:dyDescent="0.2">
      <c r="A124" s="38" t="s">
        <v>134</v>
      </c>
      <c r="B124" s="38"/>
      <c r="C124" s="38" t="s">
        <v>234</v>
      </c>
      <c r="D124" s="38"/>
      <c r="E124" s="38" t="s">
        <v>265</v>
      </c>
      <c r="F124" s="38" t="s">
        <v>381</v>
      </c>
      <c r="G124" s="38" t="s">
        <v>436</v>
      </c>
      <c r="H124" s="39" t="s">
        <v>555</v>
      </c>
      <c r="I124" s="39" t="s">
        <v>597</v>
      </c>
      <c r="J124" s="42">
        <v>1</v>
      </c>
      <c r="K124" s="15"/>
    </row>
    <row r="125" spans="1:11" s="47" customFormat="1" ht="16.5" customHeight="1" x14ac:dyDescent="0.2">
      <c r="A125" s="44" t="s">
        <v>135</v>
      </c>
      <c r="B125" s="44"/>
      <c r="C125" s="44" t="s">
        <v>235</v>
      </c>
      <c r="D125" s="44"/>
      <c r="E125" s="44" t="s">
        <v>262</v>
      </c>
      <c r="F125" s="44" t="s">
        <v>382</v>
      </c>
      <c r="G125" s="44" t="s">
        <v>431</v>
      </c>
      <c r="H125" s="44" t="s">
        <v>556</v>
      </c>
      <c r="I125" s="44" t="s">
        <v>595</v>
      </c>
      <c r="J125" s="45">
        <v>1</v>
      </c>
      <c r="K125" s="46"/>
    </row>
    <row r="126" spans="1:11" s="47" customFormat="1" ht="16.5" customHeight="1" x14ac:dyDescent="0.2">
      <c r="A126" s="38" t="s">
        <v>136</v>
      </c>
      <c r="B126" s="38"/>
      <c r="C126" s="38" t="s">
        <v>236</v>
      </c>
      <c r="D126" s="38"/>
      <c r="E126" s="38" t="s">
        <v>262</v>
      </c>
      <c r="F126" s="38" t="s">
        <v>383</v>
      </c>
      <c r="G126" s="38" t="s">
        <v>435</v>
      </c>
      <c r="H126" s="39" t="s">
        <v>557</v>
      </c>
      <c r="I126" s="39" t="s">
        <v>595</v>
      </c>
      <c r="J126" s="42">
        <v>3</v>
      </c>
      <c r="K126" s="15"/>
    </row>
    <row r="127" spans="1:11" s="47" customFormat="1" ht="16.5" customHeight="1" x14ac:dyDescent="0.2">
      <c r="A127" s="44" t="s">
        <v>137</v>
      </c>
      <c r="B127" s="44"/>
      <c r="C127" s="44" t="s">
        <v>237</v>
      </c>
      <c r="D127" s="44"/>
      <c r="E127" s="44" t="s">
        <v>266</v>
      </c>
      <c r="F127" s="44" t="s">
        <v>384</v>
      </c>
      <c r="G127" s="44" t="s">
        <v>437</v>
      </c>
      <c r="H127" s="44" t="s">
        <v>558</v>
      </c>
      <c r="I127" s="44" t="s">
        <v>598</v>
      </c>
      <c r="J127" s="45">
        <v>2</v>
      </c>
      <c r="K127" s="46"/>
    </row>
    <row r="128" spans="1:11" s="47" customFormat="1" ht="16.5" customHeight="1" x14ac:dyDescent="0.2">
      <c r="A128" s="38" t="s">
        <v>138</v>
      </c>
      <c r="B128" s="38"/>
      <c r="C128" s="38" t="s">
        <v>214</v>
      </c>
      <c r="D128" s="38"/>
      <c r="E128" s="38" t="s">
        <v>264</v>
      </c>
      <c r="F128" s="38" t="s">
        <v>385</v>
      </c>
      <c r="G128" s="38" t="s">
        <v>438</v>
      </c>
      <c r="H128" s="39" t="s">
        <v>559</v>
      </c>
      <c r="I128" s="39" t="s">
        <v>595</v>
      </c>
      <c r="J128" s="42">
        <v>1</v>
      </c>
      <c r="K128" s="15"/>
    </row>
    <row r="129" spans="1:11" s="47" customFormat="1" ht="16.5" customHeight="1" x14ac:dyDescent="0.2">
      <c r="A129" s="44" t="s">
        <v>139</v>
      </c>
      <c r="B129" s="44"/>
      <c r="C129" s="44" t="s">
        <v>238</v>
      </c>
      <c r="D129" s="44"/>
      <c r="E129" s="44" t="s">
        <v>261</v>
      </c>
      <c r="F129" s="44" t="s">
        <v>386</v>
      </c>
      <c r="G129" s="44" t="s">
        <v>431</v>
      </c>
      <c r="H129" s="44" t="s">
        <v>560</v>
      </c>
      <c r="I129" s="44" t="s">
        <v>589</v>
      </c>
      <c r="J129" s="45">
        <v>1</v>
      </c>
      <c r="K129" s="46"/>
    </row>
    <row r="130" spans="1:11" s="47" customFormat="1" ht="16.5" customHeight="1" x14ac:dyDescent="0.2">
      <c r="A130" s="38" t="s">
        <v>140</v>
      </c>
      <c r="B130" s="38"/>
      <c r="C130" s="38" t="s">
        <v>223</v>
      </c>
      <c r="D130" s="38"/>
      <c r="E130" s="38" t="s">
        <v>264</v>
      </c>
      <c r="F130" s="38" t="s">
        <v>387</v>
      </c>
      <c r="G130" s="38" t="s">
        <v>436</v>
      </c>
      <c r="H130" s="39" t="s">
        <v>561</v>
      </c>
      <c r="I130" s="39" t="s">
        <v>595</v>
      </c>
      <c r="J130" s="42">
        <v>2</v>
      </c>
      <c r="K130" s="15"/>
    </row>
    <row r="131" spans="1:11" s="47" customFormat="1" ht="16.5" customHeight="1" x14ac:dyDescent="0.2">
      <c r="A131" s="44" t="s">
        <v>141</v>
      </c>
      <c r="B131" s="44"/>
      <c r="C131" s="44" t="s">
        <v>228</v>
      </c>
      <c r="D131" s="44"/>
      <c r="E131" s="44" t="s">
        <v>267</v>
      </c>
      <c r="F131" s="44" t="s">
        <v>388</v>
      </c>
      <c r="G131" s="44" t="s">
        <v>439</v>
      </c>
      <c r="H131" s="44" t="s">
        <v>562</v>
      </c>
      <c r="I131" s="44" t="s">
        <v>586</v>
      </c>
      <c r="J131" s="45">
        <v>6</v>
      </c>
      <c r="K131" s="46"/>
    </row>
    <row r="132" spans="1:11" s="47" customFormat="1" ht="16.5" customHeight="1" x14ac:dyDescent="0.2">
      <c r="A132" s="38" t="s">
        <v>142</v>
      </c>
      <c r="B132" s="38"/>
      <c r="C132" s="38" t="s">
        <v>222</v>
      </c>
      <c r="D132" s="38"/>
      <c r="E132" s="38" t="s">
        <v>261</v>
      </c>
      <c r="F132" s="38" t="s">
        <v>389</v>
      </c>
      <c r="G132" s="38" t="s">
        <v>440</v>
      </c>
      <c r="H132" s="39" t="s">
        <v>563</v>
      </c>
      <c r="I132" s="39" t="s">
        <v>599</v>
      </c>
      <c r="J132" s="42">
        <v>2</v>
      </c>
      <c r="K132" s="15"/>
    </row>
    <row r="133" spans="1:11" s="47" customFormat="1" ht="16.5" customHeight="1" x14ac:dyDescent="0.2">
      <c r="A133" s="44" t="s">
        <v>143</v>
      </c>
      <c r="B133" s="44"/>
      <c r="C133" s="44" t="s">
        <v>214</v>
      </c>
      <c r="D133" s="44"/>
      <c r="E133" s="44" t="s">
        <v>261</v>
      </c>
      <c r="F133" s="44" t="s">
        <v>390</v>
      </c>
      <c r="G133" s="44" t="s">
        <v>440</v>
      </c>
      <c r="H133" s="44" t="s">
        <v>564</v>
      </c>
      <c r="I133" s="44" t="s">
        <v>595</v>
      </c>
      <c r="J133" s="45">
        <v>1</v>
      </c>
      <c r="K133" s="46"/>
    </row>
    <row r="134" spans="1:11" s="47" customFormat="1" ht="16.5" customHeight="1" x14ac:dyDescent="0.2">
      <c r="A134" s="38" t="s">
        <v>144</v>
      </c>
      <c r="B134" s="38"/>
      <c r="C134" s="38" t="s">
        <v>239</v>
      </c>
      <c r="D134" s="38"/>
      <c r="E134" s="38" t="s">
        <v>268</v>
      </c>
      <c r="F134" s="38" t="s">
        <v>391</v>
      </c>
      <c r="G134" s="38" t="s">
        <v>441</v>
      </c>
      <c r="H134" s="39" t="s">
        <v>565</v>
      </c>
      <c r="I134" s="39" t="s">
        <v>596</v>
      </c>
      <c r="J134" s="42">
        <v>1</v>
      </c>
      <c r="K134" s="15"/>
    </row>
    <row r="135" spans="1:11" s="47" customFormat="1" ht="16.5" customHeight="1" x14ac:dyDescent="0.2">
      <c r="A135" s="44" t="s">
        <v>145</v>
      </c>
      <c r="B135" s="44"/>
      <c r="C135" s="44" t="s">
        <v>240</v>
      </c>
      <c r="D135" s="44"/>
      <c r="E135" s="44" t="s">
        <v>259</v>
      </c>
      <c r="F135" s="44" t="s">
        <v>392</v>
      </c>
      <c r="G135" s="44"/>
      <c r="H135" s="44" t="s">
        <v>566</v>
      </c>
      <c r="I135" s="44" t="s">
        <v>600</v>
      </c>
      <c r="J135" s="45">
        <v>1</v>
      </c>
      <c r="K135" s="46"/>
    </row>
    <row r="136" spans="1:11" s="47" customFormat="1" ht="16.5" customHeight="1" x14ac:dyDescent="0.2">
      <c r="A136" s="38" t="s">
        <v>146</v>
      </c>
      <c r="B136" s="38"/>
      <c r="C136" s="38" t="s">
        <v>240</v>
      </c>
      <c r="D136" s="38"/>
      <c r="E136" s="38" t="s">
        <v>259</v>
      </c>
      <c r="F136" s="38" t="s">
        <v>393</v>
      </c>
      <c r="G136" s="38"/>
      <c r="H136" s="39" t="s">
        <v>567</v>
      </c>
      <c r="I136" s="39" t="s">
        <v>600</v>
      </c>
      <c r="J136" s="42">
        <v>3</v>
      </c>
      <c r="K136" s="15"/>
    </row>
    <row r="137" spans="1:11" s="47" customFormat="1" ht="16.5" customHeight="1" x14ac:dyDescent="0.2">
      <c r="A137" s="44" t="s">
        <v>147</v>
      </c>
      <c r="B137" s="44"/>
      <c r="C137" s="44" t="s">
        <v>240</v>
      </c>
      <c r="D137" s="44"/>
      <c r="E137" s="44" t="s">
        <v>259</v>
      </c>
      <c r="F137" s="44" t="s">
        <v>392</v>
      </c>
      <c r="G137" s="44"/>
      <c r="H137" s="44" t="s">
        <v>568</v>
      </c>
      <c r="I137" s="44" t="s">
        <v>600</v>
      </c>
      <c r="J137" s="45">
        <v>2</v>
      </c>
      <c r="K137" s="46"/>
    </row>
    <row r="138" spans="1:11" s="47" customFormat="1" ht="16.5" customHeight="1" x14ac:dyDescent="0.2">
      <c r="A138" s="38" t="s">
        <v>148</v>
      </c>
      <c r="B138" s="38"/>
      <c r="C138" s="38" t="s">
        <v>226</v>
      </c>
      <c r="D138" s="38"/>
      <c r="E138" s="38" t="s">
        <v>259</v>
      </c>
      <c r="F138" s="38" t="s">
        <v>394</v>
      </c>
      <c r="G138" s="38"/>
      <c r="H138" s="39" t="s">
        <v>569</v>
      </c>
      <c r="I138" s="39" t="s">
        <v>601</v>
      </c>
      <c r="J138" s="42">
        <v>2</v>
      </c>
      <c r="K138" s="15"/>
    </row>
    <row r="139" spans="1:11" s="47" customFormat="1" ht="16.5" customHeight="1" x14ac:dyDescent="0.2">
      <c r="A139" s="44" t="s">
        <v>149</v>
      </c>
      <c r="B139" s="44"/>
      <c r="C139" s="44" t="s">
        <v>226</v>
      </c>
      <c r="D139" s="44"/>
      <c r="E139" s="44" t="s">
        <v>259</v>
      </c>
      <c r="F139" s="44" t="s">
        <v>395</v>
      </c>
      <c r="G139" s="44"/>
      <c r="H139" s="44" t="s">
        <v>570</v>
      </c>
      <c r="I139" s="44" t="s">
        <v>601</v>
      </c>
      <c r="J139" s="45">
        <v>7</v>
      </c>
      <c r="K139" s="46"/>
    </row>
    <row r="140" spans="1:11" s="47" customFormat="1" ht="16.5" customHeight="1" x14ac:dyDescent="0.2">
      <c r="A140" s="38" t="s">
        <v>150</v>
      </c>
      <c r="B140" s="38"/>
      <c r="C140" s="38" t="s">
        <v>226</v>
      </c>
      <c r="D140" s="38"/>
      <c r="E140" s="38" t="s">
        <v>259</v>
      </c>
      <c r="F140" s="38" t="s">
        <v>396</v>
      </c>
      <c r="G140" s="38"/>
      <c r="H140" s="39" t="s">
        <v>571</v>
      </c>
      <c r="I140" s="39" t="s">
        <v>601</v>
      </c>
      <c r="J140" s="42">
        <v>1</v>
      </c>
      <c r="K140" s="15"/>
    </row>
    <row r="141" spans="1:11" s="47" customFormat="1" ht="16.5" customHeight="1" x14ac:dyDescent="0.2">
      <c r="A141" s="44" t="s">
        <v>151</v>
      </c>
      <c r="B141" s="44"/>
      <c r="C141" s="44"/>
      <c r="D141" s="44"/>
      <c r="E141" s="44" t="s">
        <v>269</v>
      </c>
      <c r="F141" s="44" t="s">
        <v>397</v>
      </c>
      <c r="G141" s="44"/>
      <c r="H141" s="44" t="s">
        <v>572</v>
      </c>
      <c r="I141" s="44" t="s">
        <v>593</v>
      </c>
      <c r="J141" s="45">
        <v>1</v>
      </c>
      <c r="K141" s="46"/>
    </row>
    <row r="142" spans="1:11" s="47" customFormat="1" ht="16.5" customHeight="1" x14ac:dyDescent="0.2">
      <c r="A142" s="38" t="s">
        <v>152</v>
      </c>
      <c r="B142" s="38"/>
      <c r="C142" s="38" t="s">
        <v>241</v>
      </c>
      <c r="D142" s="38"/>
      <c r="E142" s="38" t="s">
        <v>259</v>
      </c>
      <c r="F142" s="38" t="s">
        <v>398</v>
      </c>
      <c r="G142" s="38"/>
      <c r="H142" s="39" t="s">
        <v>573</v>
      </c>
      <c r="I142" s="39" t="s">
        <v>601</v>
      </c>
      <c r="J142" s="42">
        <v>1</v>
      </c>
      <c r="K142" s="15"/>
    </row>
    <row r="143" spans="1:11" s="47" customFormat="1" ht="16.5" customHeight="1" x14ac:dyDescent="0.2">
      <c r="A143" s="44" t="s">
        <v>153</v>
      </c>
      <c r="B143" s="44"/>
      <c r="C143" s="44" t="s">
        <v>242</v>
      </c>
      <c r="D143" s="44"/>
      <c r="E143" s="44" t="s">
        <v>270</v>
      </c>
      <c r="F143" s="44" t="s">
        <v>399</v>
      </c>
      <c r="G143" s="44"/>
      <c r="H143" s="44">
        <v>734151471</v>
      </c>
      <c r="I143" s="44" t="s">
        <v>602</v>
      </c>
      <c r="J143" s="45">
        <v>1</v>
      </c>
      <c r="K143" s="46"/>
    </row>
    <row r="144" spans="1:11" s="47" customFormat="1" ht="16.5" customHeight="1" x14ac:dyDescent="0.2">
      <c r="A144" s="38" t="s">
        <v>154</v>
      </c>
      <c r="B144" s="38"/>
      <c r="C144" s="38"/>
      <c r="D144" s="38" t="s">
        <v>247</v>
      </c>
      <c r="E144" s="38" t="s">
        <v>252</v>
      </c>
      <c r="F144" s="38" t="s">
        <v>400</v>
      </c>
      <c r="G144" s="38" t="s">
        <v>418</v>
      </c>
      <c r="H144" s="39" t="s">
        <v>574</v>
      </c>
      <c r="I144" s="39" t="s">
        <v>603</v>
      </c>
      <c r="J144" s="42">
        <v>2</v>
      </c>
      <c r="K144" s="15"/>
    </row>
    <row r="145" spans="1:11" s="11" customFormat="1" ht="16.5" customHeight="1" x14ac:dyDescent="0.2">
      <c r="A145" s="44" t="s">
        <v>155</v>
      </c>
      <c r="B145" s="44"/>
      <c r="C145" s="44"/>
      <c r="D145" s="44" t="s">
        <v>247</v>
      </c>
      <c r="E145" s="44" t="s">
        <v>252</v>
      </c>
      <c r="F145" s="44" t="s">
        <v>401</v>
      </c>
      <c r="G145" s="44" t="s">
        <v>442</v>
      </c>
      <c r="H145" s="44" t="s">
        <v>575</v>
      </c>
      <c r="I145" s="44" t="s">
        <v>603</v>
      </c>
      <c r="J145" s="45">
        <v>1</v>
      </c>
      <c r="K145" s="46"/>
    </row>
    <row r="146" spans="1:11" x14ac:dyDescent="0.2">
      <c r="A146" s="31"/>
      <c r="B146" s="40"/>
      <c r="C146" s="40"/>
      <c r="D146" s="40"/>
      <c r="E146" s="40"/>
      <c r="F146" s="41"/>
      <c r="G146" s="15"/>
      <c r="H146" s="15"/>
      <c r="I146" s="15"/>
      <c r="J146" s="43">
        <f>SUM(J12:J145)</f>
        <v>564</v>
      </c>
      <c r="K146" s="15"/>
    </row>
    <row r="147" spans="1:11" customFormat="1" ht="13.7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32" t="s">
        <v>2</v>
      </c>
      <c r="K147" s="15"/>
    </row>
    <row r="148" spans="1:11" customFormat="1" ht="12.9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32"/>
      <c r="K148" s="15"/>
    </row>
    <row r="149" spans="1:11" customFormat="1" ht="12.95" customHeight="1" x14ac:dyDescent="0.2">
      <c r="J149" s="24"/>
    </row>
    <row r="150" spans="1:11" customFormat="1" ht="12.95" customHeight="1" x14ac:dyDescent="0.2">
      <c r="J150" s="24"/>
    </row>
    <row r="151" spans="1:11" customFormat="1" ht="12.95" customHeight="1" x14ac:dyDescent="0.2">
      <c r="J151" s="24"/>
    </row>
    <row r="152" spans="1:11" customFormat="1" ht="9.75" customHeight="1" x14ac:dyDescent="0.2">
      <c r="J152" s="24"/>
    </row>
    <row r="153" spans="1:11" customFormat="1" ht="12.95" customHeight="1" x14ac:dyDescent="0.2">
      <c r="J153" s="24"/>
    </row>
    <row r="154" spans="1:11" customFormat="1" ht="12.95" customHeight="1" x14ac:dyDescent="0.2">
      <c r="J154" s="24"/>
    </row>
    <row r="155" spans="1:11" customFormat="1" ht="12.95" customHeight="1" x14ac:dyDescent="0.2">
      <c r="J155" s="24"/>
    </row>
  </sheetData>
  <phoneticPr fontId="0" type="noConversion"/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9" sqref="B19"/>
    </sheetView>
  </sheetViews>
  <sheetFormatPr defaultRowHeight="12.75" x14ac:dyDescent="0.2"/>
  <cols>
    <col min="1" max="1" width="30.28515625" style="13" customWidth="1"/>
    <col min="2" max="2" width="108.5703125" style="13" customWidth="1"/>
  </cols>
  <sheetData>
    <row r="1" spans="1:2" s="15" customFormat="1" ht="17.25" customHeight="1" x14ac:dyDescent="0.2">
      <c r="A1" s="14" t="s">
        <v>4</v>
      </c>
      <c r="B1" s="52" t="s">
        <v>605</v>
      </c>
    </row>
    <row r="2" spans="1:2" s="15" customFormat="1" ht="17.25" customHeight="1" x14ac:dyDescent="0.2">
      <c r="A2" s="16" t="s">
        <v>6</v>
      </c>
      <c r="B2" s="53" t="s">
        <v>606</v>
      </c>
    </row>
    <row r="3" spans="1:2" s="15" customFormat="1" ht="17.25" customHeight="1" x14ac:dyDescent="0.2">
      <c r="A3" s="17" t="s">
        <v>5</v>
      </c>
      <c r="B3" s="54" t="s">
        <v>607</v>
      </c>
    </row>
    <row r="4" spans="1:2" s="15" customFormat="1" ht="17.25" customHeight="1" x14ac:dyDescent="0.2">
      <c r="A4" s="16" t="s">
        <v>7</v>
      </c>
      <c r="B4" s="53" t="s">
        <v>606</v>
      </c>
    </row>
    <row r="5" spans="1:2" s="15" customFormat="1" ht="17.25" customHeight="1" x14ac:dyDescent="0.2">
      <c r="A5" s="17" t="s">
        <v>8</v>
      </c>
      <c r="B5" s="54" t="s">
        <v>605</v>
      </c>
    </row>
    <row r="6" spans="1:2" s="15" customFormat="1" ht="17.25" customHeight="1" x14ac:dyDescent="0.2">
      <c r="A6" s="16" t="s">
        <v>3</v>
      </c>
      <c r="B6" s="53" t="s">
        <v>18</v>
      </c>
    </row>
    <row r="7" spans="1:2" s="15" customFormat="1" ht="17.25" customHeight="1" x14ac:dyDescent="0.2">
      <c r="A7" s="17" t="s">
        <v>9</v>
      </c>
      <c r="B7" s="54" t="s">
        <v>608</v>
      </c>
    </row>
    <row r="8" spans="1:2" s="15" customFormat="1" ht="17.25" customHeight="1" x14ac:dyDescent="0.2">
      <c r="A8" s="16" t="s">
        <v>10</v>
      </c>
      <c r="B8" s="53" t="s">
        <v>20</v>
      </c>
    </row>
    <row r="9" spans="1:2" s="15" customFormat="1" ht="17.25" customHeight="1" x14ac:dyDescent="0.2">
      <c r="A9" s="17" t="s">
        <v>11</v>
      </c>
      <c r="B9" s="54" t="s">
        <v>19</v>
      </c>
    </row>
    <row r="10" spans="1:2" s="15" customFormat="1" ht="17.25" customHeight="1" x14ac:dyDescent="0.2">
      <c r="A10" s="16" t="s">
        <v>13</v>
      </c>
      <c r="B10" s="53" t="s">
        <v>609</v>
      </c>
    </row>
    <row r="11" spans="1:2" s="15" customFormat="1" ht="17.25" customHeight="1" x14ac:dyDescent="0.2">
      <c r="A11" s="17" t="s">
        <v>12</v>
      </c>
      <c r="B11" s="54" t="s">
        <v>17</v>
      </c>
    </row>
    <row r="12" spans="1:2" s="15" customFormat="1" ht="17.25" customHeight="1" x14ac:dyDescent="0.2">
      <c r="A12" s="16" t="s">
        <v>14</v>
      </c>
      <c r="B12" s="53" t="s">
        <v>610</v>
      </c>
    </row>
    <row r="13" spans="1:2" s="15" customFormat="1" ht="17.25" customHeight="1" x14ac:dyDescent="0.2">
      <c r="A13" s="17" t="s">
        <v>15</v>
      </c>
      <c r="B13" s="54" t="s">
        <v>611</v>
      </c>
    </row>
    <row r="14" spans="1:2" s="15" customFormat="1" ht="17.25" customHeight="1" thickBot="1" x14ac:dyDescent="0.25">
      <c r="A14" s="18" t="s">
        <v>16</v>
      </c>
      <c r="B14" s="55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rename_me</dc:creator>
  <cp:lastModifiedBy>AndrewRP</cp:lastModifiedBy>
  <cp:lastPrinted>2002-11-05T13:50:54Z</cp:lastPrinted>
  <dcterms:created xsi:type="dcterms:W3CDTF">2000-10-27T00:30:29Z</dcterms:created>
  <dcterms:modified xsi:type="dcterms:W3CDTF">2024-02-01T22:39:55Z</dcterms:modified>
</cp:coreProperties>
</file>